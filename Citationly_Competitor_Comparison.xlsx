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Fixture" sheetId="2" state="visible" r:id="rId4"/>
    <sheet name="Runs" sheetId="3" state="visible" r:id="rId5"/>
    <sheet name="Agreement" sheetId="4" state="visible" r:id="rId6"/>
    <sheet name="Scorecard"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<sst xmlns="http://schemas.openxmlformats.org/spreadsheetml/2006/main" count="145" uniqueCount="140">
  <si>
    <t xml:space="preserve">CITATIONLY — COMPETITOR PROMPT COMPARISON</t>
  </si>
  <si>
    <t xml:space="preserve">Purpose</t>
  </si>
  <si>
    <t xml:space="preserve">Measure whether competitor prompt v2 beats v1, and how much ChatGPT and Gemini agree with each other. Companion to Citationly_Competitor_Prompt_v2.html (tasks C3 and C4).</t>
  </si>
  <si>
    <t xml:space="preserve">Owner</t>
  </si>
  <si>
    <t xml:space="preserve">Atharva runs and fills. Arpit fills the Human verdict column only.</t>
  </si>
  <si>
    <t xml:space="preserve">HOW TO USE</t>
  </si>
  <si>
    <t xml:space="preserve">1. Fixture tab</t>
  </si>
  <si>
    <t xml:space="preserve">Arpit pastes the ONE frozen set of onboarding values. Nothing here changes between runs — that is the whole point.</t>
  </si>
  <si>
    <t xml:space="preserve">2. Runs tab</t>
  </si>
  <si>
    <t xml:space="preserve">Paste one row per competitor per run. 5 runs x 2 engines x 3 businesses (io-ai.io, ioweb3.io, citationly.ai) on v2.1, plus 1 run x 2 engines on v1 as the control. Blue cells are yours to type.</t>
  </si>
  <si>
    <t xml:space="preserve">3. Agreement tab</t>
  </si>
  <si>
    <t xml:space="preserve">Paste each unique (business, domain) pair once in columns A-C. Everything else calculates itself.</t>
  </si>
  <si>
    <t xml:space="preserve">4. Human verdict</t>
  </si>
  <si>
    <t xml:space="preserve">Arpit fills column J on the Agreement tab BLIND — hide columns D to I first. Grading after seeing the model's confidence is not grading.</t>
  </si>
  <si>
    <t xml:space="preserve">5. Scorecard tab</t>
  </si>
  <si>
    <t xml:space="preserve">Reads automatically. This is the tab we discuss.</t>
  </si>
  <si>
    <t xml:space="preserve">COLOUR KEY</t>
  </si>
  <si>
    <t xml:space="preserve">Blue text</t>
  </si>
  <si>
    <t xml:space="preserve">You type here.</t>
  </si>
  <si>
    <t xml:space="preserve">Yellow fill</t>
  </si>
  <si>
    <t xml:space="preserve">Must be filled before the sheet means anything.</t>
  </si>
  <si>
    <t xml:space="preserve">Black text</t>
  </si>
  <si>
    <t xml:space="preserve">Formula — do not overwrite.</t>
  </si>
  <si>
    <t xml:space="preserve">Grey italic</t>
  </si>
  <si>
    <t xml:space="preserve">Example row showing the expected format. Delete it before you start.</t>
  </si>
  <si>
    <t xml:space="preserve">RULES THAT MATTER</t>
  </si>
  <si>
    <t xml:space="preserve">Resolve BEFORE you count</t>
  </si>
  <si>
    <t xml:space="preserve">Normalise every domain, follow redirects, and fuzzy-match name+domain against rows you have already seen, THEN paste one merged row per company into Agreement. Models emit surge.ai for surgehq.ai and samasource.org for sama.com. Unmerged, one real competitor named in all 10 runs splits into two 5/10 rows and both get thrown away as DISCARD. Log which variants you collapsed.</t>
  </si>
  <si>
    <t xml:space="preserve">Key on domain</t>
  </si>
  <si>
    <t xml:space="preserve">Root domain, lowercase, no www, no path. 'Scale AI' / 'Scale' / 'Scale AI (Meta)' are one company; scale.com is the only thing that joins them.</t>
  </si>
  <si>
    <t xml:space="preserve">Temperature</t>
  </si>
  <si>
    <t xml:space="preserve">Run at the PRODUCTION temperature, not 0. Temperature 0 hides the run-to-run instability this experiment exists to measure.</t>
  </si>
  <si>
    <t xml:space="preserve">No caching</t>
  </si>
  <si>
    <t xml:space="preserve">Fresh conversation per run. A cached response is one run counted five times.</t>
  </si>
  <si>
    <t xml:space="preserve">v1 control</t>
  </si>
  <si>
    <t xml:space="preserve">The v1 prompt returns no domain. Look each one up by hand and fill the domain column so the control is comparable.</t>
  </si>
  <si>
    <t xml:space="preserve">Raw logs</t>
  </si>
  <si>
    <t xml:space="preserve">Keep every raw API response on disk keyed by Run ID. This sheet is the summary, not the evidence.</t>
  </si>
  <si>
    <t xml:space="preserve">Field</t>
  </si>
  <si>
    <t xml:space="preserve">Frozen value — Arpit fills</t>
  </si>
  <si>
    <t xml:space="preserve">Notes</t>
  </si>
  <si>
    <t xml:space="preserve">company_name</t>
  </si>
  <si>
    <t xml:space="preserve">Exact legal or trading name.</t>
  </si>
  <si>
    <t xml:space="preserve">root_domain</t>
  </si>
  <si>
    <t xml:space="preserve">lowercase, no scheme, no www.</t>
  </si>
  <si>
    <t xml:space="preserve">what_they_sell</t>
  </si>
  <si>
    <t xml:space="preserve">From the Products/services box. NEVER from industriesServed.</t>
  </si>
  <si>
    <t xml:space="preserve">who_they_sell_to</t>
  </si>
  <si>
    <t xml:space="preserve">NEW onboarding field. e.g. 'AI labs and robotics companies building perception models'.</t>
  </si>
  <si>
    <t xml:space="preserve">buyer_type</t>
  </si>
  <si>
    <t xml:space="preserve">B2B / B2C / B2B2C</t>
  </si>
  <si>
    <t xml:space="preserve">primary_market</t>
  </si>
  <si>
    <t xml:space="preserve">Country.</t>
  </si>
  <si>
    <t xml:space="preserve">also_sells_into</t>
  </si>
  <si>
    <t xml:space="preserve">Other markets, comma separated.</t>
  </si>
  <si>
    <t xml:space="preserve">company_stage</t>
  </si>
  <si>
    <t xml:space="preserve">Recorded, not used to filter.</t>
  </si>
  <si>
    <t xml:space="preserve">keywords</t>
  </si>
  <si>
    <t xml:space="preserve">Comma separated, min 5.</t>
  </si>
  <si>
    <t xml:space="preserve">known_competitors</t>
  </si>
  <si>
    <t xml:space="preserve">NEW onboarding field. Optional. Comma separated.</t>
  </si>
  <si>
    <t xml:space="preserve">never_include</t>
  </si>
  <si>
    <t xml:space="preserve">Blacklist. Optional.</t>
  </si>
  <si>
    <t xml:space="preserve">max_competitors</t>
  </si>
  <si>
    <t xml:space="preserve">8</t>
  </si>
  <si>
    <t xml:space="preserve">Keep at 8 for the experiment.</t>
  </si>
  <si>
    <t xml:space="preserve">BUSINESS B — ioweb3.io</t>
  </si>
  <si>
    <t xml:space="preserve">Parent company. Already benchmarked in Profound, so we have outside ground truth. Duplicate the block above on a second copy of this tab.</t>
  </si>
  <si>
    <t xml:space="preserve">BUSINESS C — citationly.ai</t>
  </si>
  <si>
    <t xml:space="preserve">Our own product. Crowded category (Profound, Peec AI, Otterly, Athena) that any of us can grade instantly. Same.</t>
  </si>
  <si>
    <t xml:space="preserve">Source: values supplied by Arpit Gupta. These bytes are identical on every API call in this experiment.</t>
  </si>
  <si>
    <t xml:space="preserve">Run ID</t>
  </si>
  <si>
    <t xml:space="preserve">Business</t>
  </si>
  <si>
    <t xml:space="preserve">Engine</t>
  </si>
  <si>
    <t xml:space="preserve">Prompt</t>
  </si>
  <si>
    <t xml:space="preserve">Run #</t>
  </si>
  <si>
    <t xml:space="preserve">Rank</t>
  </si>
  <si>
    <t xml:space="preserve">Company name</t>
  </si>
  <si>
    <t xml:space="preserve">Domain</t>
  </si>
  <si>
    <t xml:space="preserve">relative_scale</t>
  </si>
  <si>
    <t xml:space="preserve">basis</t>
  </si>
  <si>
    <t xml:space="preserve">confidence</t>
  </si>
  <si>
    <t xml:space="preserve">why_competitor</t>
  </si>
  <si>
    <t xml:space="preserve">their_edge_vs_client</t>
  </si>
  <si>
    <t xml:space="preserve">client_edge_vs_them</t>
  </si>
  <si>
    <t xml:space="preserve">EXAMPLE — delete</t>
  </si>
  <si>
    <t xml:space="preserve">ChatGPT</t>
  </si>
  <si>
    <t xml:space="preserve">v2</t>
  </si>
  <si>
    <t xml:space="preserve">Scale AI</t>
  </si>
  <si>
    <t xml:space="preserve">scale.com</t>
  </si>
  <si>
    <t xml:space="preserve">category_leader</t>
  </si>
  <si>
    <t xml:space="preserve">named_direct_rival</t>
  </si>
  <si>
    <t xml:space="preserve">Sells managed data annotation to AI labs</t>
  </si>
  <si>
    <t xml:space="preserve">Far larger annotator pool and enterprise trust</t>
  </si>
  <si>
    <t xml:space="preserve">Lower cost, India-based delivery</t>
  </si>
  <si>
    <t xml:space="preserve">ChatGPT hits /5</t>
  </si>
  <si>
    <t xml:space="preserve">Gemini hits /5</t>
  </si>
  <si>
    <t xml:space="preserve">Total /10</t>
  </si>
  <si>
    <t xml:space="preserve">Both engines?</t>
  </si>
  <si>
    <t xml:space="preserve">Agreement tier</t>
  </si>
  <si>
    <t xml:space="preserve">Avg model confidence</t>
  </si>
  <si>
    <t xml:space="preserve">HUMAN VERDICT (blind)</t>
  </si>
  <si>
    <t xml:space="preserve">Tier rule: LOCKED = both engines &gt;=4/5 · CANDIDATE = both engines &gt;=2/5 · WEAK = one engine only · DISCARD = &lt;=2 of 10 appearances.</t>
  </si>
  <si>
    <t xml:space="preserve">Hide columns D:I before Arpit fills column J. The blind verdict is the only unbiased measurement in this experiment.</t>
  </si>
  <si>
    <t xml:space="preserve">SCORECARD — read this tab, argue about this tab</t>
  </si>
  <si>
    <t xml:space="preserve">COVERAGE</t>
  </si>
  <si>
    <t xml:space="preserve">Unique companies named (v2, all engines)</t>
  </si>
  <si>
    <t xml:space="preserve">Blank until the Agreement tab is populated.</t>
  </si>
  <si>
    <t xml:space="preserve">Graded by a human</t>
  </si>
  <si>
    <t xml:space="preserve">Must equal the row above before any rate below is meaningful.</t>
  </si>
  <si>
    <t xml:space="preserve">TRUST — the number that decides whether v2 ships</t>
  </si>
  <si>
    <t xml:space="preserve">v2 hallucination rate</t>
  </si>
  <si>
    <t xml:space="preserve">Share of named companies that are not real, or not real in this category.</t>
  </si>
  <si>
    <t xml:space="preserve">v2 wrong-direction rate (our customers / suppliers)</t>
  </si>
  <si>
    <t xml:space="preserve">The Lockheed Martin failure mode specifically. Target: zero. This is what the substitution test is for.</t>
  </si>
  <si>
    <t xml:space="preserve">v2 clean rate (real competitors)</t>
  </si>
  <si>
    <t xml:space="preserve">The headline. Ship gate: &gt;= 80%, AND wrong-direction rate = 0.</t>
  </si>
  <si>
    <t xml:space="preserve">DOES THE AGREEMENT TIER PREDICT TRUTH?</t>
  </si>
  <si>
    <t xml:space="preserve">LOCKED tier that a human calls real</t>
  </si>
  <si>
    <t xml:space="preserve">If this is near 100%, LOCKED can auto-include without asking the user.</t>
  </si>
  <si>
    <t xml:space="preserve">DISCARD tier that a human calls real</t>
  </si>
  <si>
    <t xml:space="preserve">If this is near 0%, we are safely throwing away only noise. If it is high, the tier thresholds are wrong.</t>
  </si>
  <si>
    <t xml:space="preserve">IS THE MODEL'S OWN CONFIDENCE WORTH ANYTHING?</t>
  </si>
  <si>
    <t xml:space="preserve">Avg model confidence on REAL competitors</t>
  </si>
  <si>
    <t xml:space="preserve">Avg model confidence on HALLUCINATIONS</t>
  </si>
  <si>
    <t xml:space="preserve">Gap (real minus hallucinated)</t>
  </si>
  <si>
    <t xml:space="preserve">If this gap is under ~10 points, the model's self-reported confidence is noise and must never be shown to a customer. Use the agreement tier instead.</t>
  </si>
  <si>
    <t xml:space="preserve">ENGINE BEHAVIOUR</t>
  </si>
  <si>
    <t xml:space="preserve">Cross-engine overlap</t>
  </si>
  <si>
    <t xml:space="preserve">Share of companies both ChatGPT and Gemini named at least once. Low overlap means neither engine alone is trustworthy.</t>
  </si>
  <si>
    <t xml:space="preserve">ChatGPT rows returned (v2)</t>
  </si>
  <si>
    <t xml:space="preserve">Gemini rows returned (v2)</t>
  </si>
  <si>
    <t xml:space="preserve">ChatGPT avg list length per run</t>
  </si>
  <si>
    <t xml:space="preserve">Divide by number of v2 runs on ChatGPT (5 runs x 3 businesses = 15). Adjust if you run a different count.</t>
  </si>
  <si>
    <t xml:space="preserve">Gemini avg list length per run</t>
  </si>
  <si>
    <t xml:space="preserve">Same.</t>
  </si>
  <si>
    <t xml:space="preserve">CONTROL — v1 prompt</t>
  </si>
  <si>
    <t xml:space="preserve">v1 rows returned</t>
  </si>
  <si>
    <t xml:space="preserve">Grade the v1 names by hand in a scratch column and state the v1 hallucination rate here in writing. v2 must beat it, or we do not ship v2 on faith.</t>
  </si>
  <si>
    <t xml:space="preserve">Assumption: the divisors in rows 25-26 hardcode 15 v2 runs per engine (5 runs x 3 businesses). Change them if the run count changes.</t>
  </si>
</sst>
</file>

<file path=xl/styles.xml><?xml version="1.0" encoding="utf-8"?>
<styleSheet xmlns="http://schemas.openxmlformats.org/spreadsheetml/2006/main">
  <numFmts count="5">
    <numFmt numFmtId="164" formatCode="General"/>
    <numFmt numFmtId="165" formatCode="General"/>
    <numFmt numFmtId="166" formatCode="0"/>
    <numFmt numFmtId="167" formatCode="0.0%"/>
    <numFmt numFmtId="168" formatCode="0.0"/>
  </numFmts>
  <fonts count="13">
    <font>
      <sz val="11"/>
      <color theme="1"/>
      <name val="Calibri"/>
      <family val="2"/>
      <charset val="1"/>
    </font>
    <font>
      <sz val="10"/>
      <name val="Arial"/>
      <family val="0"/>
    </font>
    <font>
      <sz val="10"/>
      <name val="Arial"/>
      <family val="0"/>
    </font>
    <font>
      <sz val="10"/>
      <name val="Arial"/>
      <family val="0"/>
    </font>
    <font>
      <b val="true"/>
      <sz val="13"/>
      <color rgb="FF3B2E8C"/>
      <name val="Arial"/>
      <family val="0"/>
      <charset val="1"/>
    </font>
    <font>
      <sz val="10"/>
      <name val="Arial"/>
      <family val="0"/>
      <charset val="1"/>
    </font>
    <font>
      <b val="true"/>
      <sz val="10"/>
      <name val="Arial"/>
      <family val="0"/>
      <charset val="1"/>
    </font>
    <font>
      <b val="true"/>
      <sz val="10"/>
      <color rgb="FF3B2E8C"/>
      <name val="Arial"/>
      <family val="0"/>
      <charset val="1"/>
    </font>
    <font>
      <b val="true"/>
      <sz val="10"/>
      <color rgb="FFFFFFFF"/>
      <name val="Arial"/>
      <family val="0"/>
      <charset val="1"/>
    </font>
    <font>
      <sz val="10"/>
      <color rgb="FF0000FF"/>
      <name val="Arial"/>
      <family val="0"/>
      <charset val="1"/>
    </font>
    <font>
      <sz val="9"/>
      <color rgb="FF6B7280"/>
      <name val="Arial"/>
      <family val="0"/>
      <charset val="1"/>
    </font>
    <font>
      <i val="true"/>
      <sz val="10"/>
      <color rgb="FF9AA0AC"/>
      <name val="Arial"/>
      <family val="0"/>
      <charset val="1"/>
    </font>
    <font>
      <b val="true"/>
      <sz val="11"/>
      <color rgb="FF3B2E8C"/>
      <name val="Arial"/>
      <family val="0"/>
      <charset val="1"/>
    </font>
  </fonts>
  <fills count="4">
    <fill>
      <patternFill patternType="none"/>
    </fill>
    <fill>
      <patternFill patternType="gray125"/>
    </fill>
    <fill>
      <patternFill patternType="solid">
        <fgColor rgb="FF3B2E8C"/>
        <bgColor rgb="FF333333"/>
      </patternFill>
    </fill>
    <fill>
      <patternFill patternType="solid">
        <fgColor rgb="FFFFF6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6" fontId="5" fillId="0" borderId="0" xfId="0" applyFont="true" applyBorder="false" applyAlignment="true" applyProtection="false">
      <alignment horizontal="center" vertical="bottom" textRotation="0" wrapText="false" indent="0" shrinkToFit="false"/>
      <protection locked="true" hidden="false"/>
    </xf>
    <xf numFmtId="167" fontId="5" fillId="0" borderId="0" xfId="0" applyFont="true" applyBorder="false" applyAlignment="true" applyProtection="false">
      <alignment horizontal="center" vertical="bottom" textRotation="0" wrapText="false" indent="0" shrinkToFit="false"/>
      <protection locked="true" hidden="false"/>
    </xf>
    <xf numFmtId="168" fontId="5"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AA0AC"/>
      <rgbColor rgb="FF003366"/>
      <rgbColor rgb="FF339966"/>
      <rgbColor rgb="FF003300"/>
      <rgbColor rgb="FF333300"/>
      <rgbColor rgb="FF993300"/>
      <rgbColor rgb="FF993366"/>
      <rgbColor rgb="FF3B2E8C"/>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04"/>
  </cols>
  <sheetData>
    <row r="1" customFormat="false" ht="15" hidden="false" customHeight="true" outlineLevel="0" collapsed="false">
      <c r="A1" s="2" t="s">
        <v>0</v>
      </c>
      <c r="B1" s="3"/>
    </row>
    <row r="2" customFormat="false" ht="15" hidden="false" customHeight="true" outlineLevel="0" collapsed="false">
      <c r="A2" s="4"/>
      <c r="B2" s="3"/>
    </row>
    <row r="3" customFormat="false" ht="27.75" hidden="false" customHeight="true" outlineLevel="0" collapsed="false">
      <c r="A3" s="4" t="s">
        <v>1</v>
      </c>
      <c r="B3" s="3" t="s">
        <v>2</v>
      </c>
    </row>
    <row r="4" customFormat="false" ht="27.75" hidden="false" customHeight="true" outlineLevel="0" collapsed="false">
      <c r="A4" s="4" t="s">
        <v>3</v>
      </c>
      <c r="B4" s="3" t="s">
        <v>4</v>
      </c>
    </row>
    <row r="5" customFormat="false" ht="15" hidden="false" customHeight="true" outlineLevel="0" collapsed="false">
      <c r="A5" s="4"/>
      <c r="B5" s="3"/>
    </row>
    <row r="6" customFormat="false" ht="15" hidden="false" customHeight="true" outlineLevel="0" collapsed="false">
      <c r="A6" s="5" t="s">
        <v>5</v>
      </c>
      <c r="B6" s="3"/>
    </row>
    <row r="7" customFormat="false" ht="27.75" hidden="false" customHeight="true" outlineLevel="0" collapsed="false">
      <c r="A7" s="4" t="s">
        <v>6</v>
      </c>
      <c r="B7" s="3" t="s">
        <v>7</v>
      </c>
    </row>
    <row r="8" customFormat="false" ht="27.75" hidden="false" customHeight="true" outlineLevel="0" collapsed="false">
      <c r="A8" s="4" t="s">
        <v>8</v>
      </c>
      <c r="B8" s="3" t="s">
        <v>9</v>
      </c>
    </row>
    <row r="9" customFormat="false" ht="27.75" hidden="false" customHeight="true" outlineLevel="0" collapsed="false">
      <c r="A9" s="4" t="s">
        <v>10</v>
      </c>
      <c r="B9" s="3" t="s">
        <v>11</v>
      </c>
    </row>
    <row r="10" customFormat="false" ht="27.75" hidden="false" customHeight="true" outlineLevel="0" collapsed="false">
      <c r="A10" s="4" t="s">
        <v>12</v>
      </c>
      <c r="B10" s="3" t="s">
        <v>13</v>
      </c>
    </row>
    <row r="11" customFormat="false" ht="27.75" hidden="false" customHeight="true" outlineLevel="0" collapsed="false">
      <c r="A11" s="4" t="s">
        <v>14</v>
      </c>
      <c r="B11" s="3" t="s">
        <v>15</v>
      </c>
    </row>
    <row r="12" customFormat="false" ht="15" hidden="false" customHeight="true" outlineLevel="0" collapsed="false">
      <c r="A12" s="4"/>
      <c r="B12" s="3"/>
    </row>
    <row r="13" customFormat="false" ht="15" hidden="false" customHeight="true" outlineLevel="0" collapsed="false">
      <c r="A13" s="5" t="s">
        <v>16</v>
      </c>
      <c r="B13" s="3"/>
    </row>
    <row r="14" customFormat="false" ht="27.75" hidden="false" customHeight="true" outlineLevel="0" collapsed="false">
      <c r="A14" s="4" t="s">
        <v>17</v>
      </c>
      <c r="B14" s="3" t="s">
        <v>18</v>
      </c>
    </row>
    <row r="15" customFormat="false" ht="27.75" hidden="false" customHeight="true" outlineLevel="0" collapsed="false">
      <c r="A15" s="4" t="s">
        <v>19</v>
      </c>
      <c r="B15" s="3" t="s">
        <v>20</v>
      </c>
    </row>
    <row r="16" customFormat="false" ht="27.75" hidden="false" customHeight="true" outlineLevel="0" collapsed="false">
      <c r="A16" s="4" t="s">
        <v>21</v>
      </c>
      <c r="B16" s="3" t="s">
        <v>22</v>
      </c>
    </row>
    <row r="17" customFormat="false" ht="27.75" hidden="false" customHeight="true" outlineLevel="0" collapsed="false">
      <c r="A17" s="4" t="s">
        <v>23</v>
      </c>
      <c r="B17" s="3" t="s">
        <v>24</v>
      </c>
    </row>
    <row r="18" customFormat="false" ht="15" hidden="false" customHeight="true" outlineLevel="0" collapsed="false">
      <c r="A18" s="4"/>
      <c r="B18" s="3"/>
    </row>
    <row r="19" customFormat="false" ht="15" hidden="false" customHeight="true" outlineLevel="0" collapsed="false">
      <c r="A19" s="5" t="s">
        <v>25</v>
      </c>
      <c r="B19" s="3"/>
    </row>
    <row r="20" customFormat="false" ht="42" hidden="false" customHeight="true" outlineLevel="0" collapsed="false">
      <c r="A20" s="4" t="s">
        <v>26</v>
      </c>
      <c r="B20" s="3" t="s">
        <v>27</v>
      </c>
    </row>
    <row r="21" customFormat="false" ht="27.75" hidden="false" customHeight="true" outlineLevel="0" collapsed="false">
      <c r="A21" s="4" t="s">
        <v>28</v>
      </c>
      <c r="B21" s="3" t="s">
        <v>29</v>
      </c>
    </row>
    <row r="22" customFormat="false" ht="27.75" hidden="false" customHeight="true" outlineLevel="0" collapsed="false">
      <c r="A22" s="4" t="s">
        <v>30</v>
      </c>
      <c r="B22" s="3" t="s">
        <v>31</v>
      </c>
    </row>
    <row r="23" customFormat="false" ht="27.75" hidden="false" customHeight="true" outlineLevel="0" collapsed="false">
      <c r="A23" s="4" t="s">
        <v>32</v>
      </c>
      <c r="B23" s="3" t="s">
        <v>33</v>
      </c>
    </row>
    <row r="24" customFormat="false" ht="27.75" hidden="false" customHeight="true" outlineLevel="0" collapsed="false">
      <c r="A24" s="4" t="s">
        <v>34</v>
      </c>
      <c r="B24" s="3" t="s">
        <v>35</v>
      </c>
    </row>
    <row r="25" customFormat="false" ht="15" hidden="false" customHeight="true" outlineLevel="0" collapsed="false">
      <c r="A25" s="4" t="s">
        <v>36</v>
      </c>
      <c r="B25" s="3" t="s">
        <v>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70"/>
    <col collapsed="false" customWidth="true" hidden="false" outlineLevel="0" max="3" min="3" style="1" width="44"/>
  </cols>
  <sheetData>
    <row r="1" customFormat="false" ht="30" hidden="false" customHeight="true" outlineLevel="0" collapsed="false">
      <c r="A1" s="6" t="s">
        <v>38</v>
      </c>
      <c r="B1" s="6" t="s">
        <v>39</v>
      </c>
      <c r="C1" s="6" t="s">
        <v>40</v>
      </c>
    </row>
    <row r="2" customFormat="false" ht="25.5" hidden="false" customHeight="true" outlineLevel="0" collapsed="false">
      <c r="A2" s="7" t="s">
        <v>41</v>
      </c>
      <c r="B2" s="8"/>
      <c r="C2" s="9" t="s">
        <v>42</v>
      </c>
    </row>
    <row r="3" customFormat="false" ht="25.5" hidden="false" customHeight="true" outlineLevel="0" collapsed="false">
      <c r="A3" s="7" t="s">
        <v>43</v>
      </c>
      <c r="B3" s="8"/>
      <c r="C3" s="9" t="s">
        <v>44</v>
      </c>
    </row>
    <row r="4" customFormat="false" ht="25.5" hidden="false" customHeight="true" outlineLevel="0" collapsed="false">
      <c r="A4" s="7" t="s">
        <v>45</v>
      </c>
      <c r="B4" s="8"/>
      <c r="C4" s="9" t="s">
        <v>46</v>
      </c>
    </row>
    <row r="5" customFormat="false" ht="25.5" hidden="false" customHeight="true" outlineLevel="0" collapsed="false">
      <c r="A5" s="7" t="s">
        <v>47</v>
      </c>
      <c r="B5" s="8"/>
      <c r="C5" s="9" t="s">
        <v>48</v>
      </c>
    </row>
    <row r="6" customFormat="false" ht="25.5" hidden="false" customHeight="true" outlineLevel="0" collapsed="false">
      <c r="A6" s="7" t="s">
        <v>49</v>
      </c>
      <c r="B6" s="8"/>
      <c r="C6" s="9" t="s">
        <v>50</v>
      </c>
    </row>
    <row r="7" customFormat="false" ht="25.5" hidden="false" customHeight="true" outlineLevel="0" collapsed="false">
      <c r="A7" s="7" t="s">
        <v>51</v>
      </c>
      <c r="B7" s="8"/>
      <c r="C7" s="9" t="s">
        <v>52</v>
      </c>
    </row>
    <row r="8" customFormat="false" ht="25.5" hidden="false" customHeight="true" outlineLevel="0" collapsed="false">
      <c r="A8" s="7" t="s">
        <v>53</v>
      </c>
      <c r="B8" s="8"/>
      <c r="C8" s="9" t="s">
        <v>54</v>
      </c>
    </row>
    <row r="9" customFormat="false" ht="25.5" hidden="false" customHeight="true" outlineLevel="0" collapsed="false">
      <c r="A9" s="7" t="s">
        <v>55</v>
      </c>
      <c r="B9" s="8"/>
      <c r="C9" s="9" t="s">
        <v>56</v>
      </c>
    </row>
    <row r="10" customFormat="false" ht="25.5" hidden="false" customHeight="true" outlineLevel="0" collapsed="false">
      <c r="A10" s="7" t="s">
        <v>57</v>
      </c>
      <c r="B10" s="8"/>
      <c r="C10" s="9" t="s">
        <v>58</v>
      </c>
    </row>
    <row r="11" customFormat="false" ht="25.5" hidden="false" customHeight="true" outlineLevel="0" collapsed="false">
      <c r="A11" s="7" t="s">
        <v>59</v>
      </c>
      <c r="B11" s="8"/>
      <c r="C11" s="9" t="s">
        <v>60</v>
      </c>
    </row>
    <row r="12" customFormat="false" ht="25.5" hidden="false" customHeight="true" outlineLevel="0" collapsed="false">
      <c r="A12" s="7" t="s">
        <v>61</v>
      </c>
      <c r="B12" s="8"/>
      <c r="C12" s="9" t="s">
        <v>62</v>
      </c>
    </row>
    <row r="13" customFormat="false" ht="25.5" hidden="false" customHeight="true" outlineLevel="0" collapsed="false">
      <c r="A13" s="7" t="s">
        <v>63</v>
      </c>
      <c r="B13" s="8" t="s">
        <v>64</v>
      </c>
      <c r="C13" s="9" t="s">
        <v>65</v>
      </c>
    </row>
    <row r="14" customFormat="false" ht="25.5" hidden="false" customHeight="true" outlineLevel="0" collapsed="false">
      <c r="A14" s="7"/>
      <c r="B14" s="8"/>
      <c r="C14" s="9"/>
    </row>
    <row r="15" customFormat="false" ht="25.5" hidden="false" customHeight="true" outlineLevel="0" collapsed="false">
      <c r="A15" s="7" t="s">
        <v>66</v>
      </c>
      <c r="B15" s="8"/>
      <c r="C15" s="9" t="s">
        <v>67</v>
      </c>
    </row>
    <row r="16" customFormat="false" ht="25.5" hidden="false" customHeight="true" outlineLevel="0" collapsed="false">
      <c r="A16" s="7" t="s">
        <v>68</v>
      </c>
      <c r="B16" s="8"/>
      <c r="C16" s="9" t="s">
        <v>69</v>
      </c>
    </row>
    <row r="18" customFormat="false" ht="15" hidden="false" customHeight="true" outlineLevel="0" collapsed="false">
      <c r="A18" s="10" t="s">
        <v>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15"/>
    <col collapsed="false" customWidth="true" hidden="false" outlineLevel="0" max="3" min="3" style="1" width="12"/>
    <col collapsed="false" customWidth="true" hidden="false" outlineLevel="0" max="4" min="4" style="1" width="9"/>
    <col collapsed="false" customWidth="true" hidden="false" outlineLevel="0" max="6" min="5" style="1" width="7"/>
    <col collapsed="false" customWidth="true" hidden="false" outlineLevel="0" max="8" min="7" style="1" width="24"/>
    <col collapsed="false" customWidth="true" hidden="false" outlineLevel="0" max="9" min="9" style="1" width="15"/>
    <col collapsed="false" customWidth="true" hidden="false" outlineLevel="0" max="10" min="10" style="1" width="22"/>
    <col collapsed="false" customWidth="true" hidden="false" outlineLevel="0" max="11" min="11" style="1" width="11"/>
    <col collapsed="false" customWidth="true" hidden="false" outlineLevel="0" max="12" min="12" style="1" width="34"/>
    <col collapsed="false" customWidth="true" hidden="false" outlineLevel="0" max="14" min="13" style="1" width="30"/>
  </cols>
  <sheetData>
    <row r="1" customFormat="false" ht="30" hidden="false" customHeight="true" outlineLevel="0" collapsed="false">
      <c r="A1" s="6" t="s">
        <v>71</v>
      </c>
      <c r="B1" s="6" t="s">
        <v>72</v>
      </c>
      <c r="C1" s="6" t="s">
        <v>73</v>
      </c>
      <c r="D1" s="6" t="s">
        <v>74</v>
      </c>
      <c r="E1" s="6" t="s">
        <v>75</v>
      </c>
      <c r="F1" s="6" t="s">
        <v>76</v>
      </c>
      <c r="G1" s="6" t="s">
        <v>77</v>
      </c>
      <c r="H1" s="6" t="s">
        <v>78</v>
      </c>
      <c r="I1" s="6" t="s">
        <v>79</v>
      </c>
      <c r="J1" s="6" t="s">
        <v>80</v>
      </c>
      <c r="K1" s="6" t="s">
        <v>81</v>
      </c>
      <c r="L1" s="6" t="s">
        <v>82</v>
      </c>
      <c r="M1" s="6" t="s">
        <v>83</v>
      </c>
      <c r="N1" s="6" t="s">
        <v>84</v>
      </c>
    </row>
    <row r="2" customFormat="false" ht="23.25" hidden="false" customHeight="true" outlineLevel="0" collapsed="false">
      <c r="A2" s="11" t="s">
        <v>85</v>
      </c>
      <c r="B2" s="11" t="s">
        <v>85</v>
      </c>
      <c r="C2" s="11" t="s">
        <v>86</v>
      </c>
      <c r="D2" s="11" t="s">
        <v>87</v>
      </c>
      <c r="E2" s="11" t="n">
        <v>1</v>
      </c>
      <c r="F2" s="11" t="n">
        <v>1</v>
      </c>
      <c r="G2" s="11" t="s">
        <v>88</v>
      </c>
      <c r="H2" s="11" t="s">
        <v>89</v>
      </c>
      <c r="I2" s="11" t="s">
        <v>90</v>
      </c>
      <c r="J2" s="11" t="s">
        <v>91</v>
      </c>
      <c r="K2" s="11" t="n">
        <v>95</v>
      </c>
      <c r="L2" s="11" t="s">
        <v>92</v>
      </c>
      <c r="M2" s="11" t="s">
        <v>93</v>
      </c>
      <c r="N2" s="11" t="s">
        <v>94</v>
      </c>
    </row>
    <row r="3" customFormat="false" ht="15" hidden="false" customHeight="true" outlineLevel="0" collapsed="false">
      <c r="A3" s="12"/>
      <c r="B3" s="12"/>
      <c r="C3" s="12"/>
      <c r="D3" s="12"/>
      <c r="E3" s="12"/>
      <c r="F3" s="12"/>
      <c r="G3" s="12"/>
      <c r="H3" s="12"/>
      <c r="I3" s="12"/>
      <c r="J3" s="12"/>
      <c r="K3" s="12"/>
      <c r="L3" s="12"/>
      <c r="M3" s="12"/>
      <c r="N3" s="12"/>
    </row>
    <row r="4" customFormat="false" ht="15" hidden="false" customHeight="true" outlineLevel="0" collapsed="false">
      <c r="A4" s="12"/>
      <c r="B4" s="12"/>
      <c r="C4" s="12"/>
      <c r="D4" s="12"/>
      <c r="E4" s="12"/>
      <c r="F4" s="12"/>
      <c r="G4" s="12"/>
      <c r="H4" s="12"/>
      <c r="I4" s="12"/>
      <c r="J4" s="12"/>
      <c r="K4" s="12"/>
      <c r="L4" s="12"/>
      <c r="M4" s="12"/>
      <c r="N4" s="12"/>
    </row>
    <row r="5" customFormat="false" ht="15" hidden="false" customHeight="true" outlineLevel="0" collapsed="false">
      <c r="A5" s="12"/>
      <c r="B5" s="12"/>
      <c r="C5" s="12"/>
      <c r="D5" s="12"/>
      <c r="E5" s="12"/>
      <c r="F5" s="12"/>
      <c r="G5" s="12"/>
      <c r="H5" s="12"/>
      <c r="I5" s="12"/>
      <c r="J5" s="12"/>
      <c r="K5" s="12"/>
      <c r="L5" s="12"/>
      <c r="M5" s="12"/>
      <c r="N5" s="12"/>
    </row>
    <row r="6" customFormat="false" ht="15" hidden="false" customHeight="true" outlineLevel="0" collapsed="false">
      <c r="A6" s="12"/>
      <c r="B6" s="12"/>
      <c r="C6" s="12"/>
      <c r="D6" s="12"/>
      <c r="E6" s="12"/>
      <c r="F6" s="12"/>
      <c r="G6" s="12"/>
      <c r="H6" s="12"/>
      <c r="I6" s="12"/>
      <c r="J6" s="12"/>
      <c r="K6" s="12"/>
      <c r="L6" s="12"/>
      <c r="M6" s="12"/>
      <c r="N6" s="12"/>
    </row>
    <row r="7" customFormat="false" ht="15" hidden="false" customHeight="true" outlineLevel="0" collapsed="false">
      <c r="A7" s="12"/>
      <c r="B7" s="12"/>
      <c r="C7" s="12"/>
      <c r="D7" s="12"/>
      <c r="E7" s="12"/>
      <c r="F7" s="12"/>
      <c r="G7" s="12"/>
      <c r="H7" s="12"/>
      <c r="I7" s="12"/>
      <c r="J7" s="12"/>
      <c r="K7" s="12"/>
      <c r="L7" s="12"/>
      <c r="M7" s="12"/>
      <c r="N7" s="12"/>
    </row>
    <row r="8" customFormat="false" ht="15" hidden="false" customHeight="true" outlineLevel="0" collapsed="false">
      <c r="A8" s="12"/>
      <c r="B8" s="12"/>
      <c r="C8" s="12"/>
      <c r="D8" s="12"/>
      <c r="E8" s="12"/>
      <c r="F8" s="12"/>
      <c r="G8" s="12"/>
      <c r="H8" s="12"/>
      <c r="I8" s="12"/>
      <c r="J8" s="12"/>
      <c r="K8" s="12"/>
      <c r="L8" s="12"/>
      <c r="M8" s="12"/>
      <c r="N8" s="12"/>
    </row>
    <row r="9" customFormat="false" ht="15" hidden="false" customHeight="true" outlineLevel="0" collapsed="false">
      <c r="A9" s="12"/>
      <c r="B9" s="12"/>
      <c r="C9" s="12"/>
      <c r="D9" s="12"/>
      <c r="E9" s="12"/>
      <c r="F9" s="12"/>
      <c r="G9" s="12"/>
      <c r="H9" s="12"/>
      <c r="I9" s="12"/>
      <c r="J9" s="12"/>
      <c r="K9" s="12"/>
      <c r="L9" s="12"/>
      <c r="M9" s="12"/>
      <c r="N9" s="12"/>
    </row>
    <row r="10" customFormat="false" ht="15" hidden="false" customHeight="true" outlineLevel="0" collapsed="false">
      <c r="A10" s="12"/>
      <c r="B10" s="12"/>
      <c r="C10" s="12"/>
      <c r="D10" s="12"/>
      <c r="E10" s="12"/>
      <c r="F10" s="12"/>
      <c r="G10" s="12"/>
      <c r="H10" s="12"/>
      <c r="I10" s="12"/>
      <c r="J10" s="12"/>
      <c r="K10" s="12"/>
      <c r="L10" s="12"/>
      <c r="M10" s="12"/>
      <c r="N10" s="12"/>
    </row>
    <row r="11" customFormat="false" ht="15" hidden="false" customHeight="true" outlineLevel="0" collapsed="false">
      <c r="A11" s="12"/>
      <c r="B11" s="12"/>
      <c r="C11" s="12"/>
      <c r="D11" s="12"/>
      <c r="E11" s="12"/>
      <c r="F11" s="12"/>
      <c r="G11" s="12"/>
      <c r="H11" s="12"/>
      <c r="I11" s="12"/>
      <c r="J11" s="12"/>
      <c r="K11" s="12"/>
      <c r="L11" s="12"/>
      <c r="M11" s="12"/>
      <c r="N11" s="12"/>
    </row>
    <row r="12" customFormat="false" ht="15" hidden="false" customHeight="true" outlineLevel="0" collapsed="false">
      <c r="A12" s="12"/>
      <c r="B12" s="12"/>
      <c r="C12" s="12"/>
      <c r="D12" s="12"/>
      <c r="E12" s="12"/>
      <c r="F12" s="12"/>
      <c r="G12" s="12"/>
      <c r="H12" s="12"/>
      <c r="I12" s="12"/>
      <c r="J12" s="12"/>
      <c r="K12" s="12"/>
      <c r="L12" s="12"/>
      <c r="M12" s="12"/>
      <c r="N12" s="12"/>
    </row>
    <row r="13" customFormat="false" ht="15" hidden="false" customHeight="true" outlineLevel="0" collapsed="false">
      <c r="A13" s="12"/>
      <c r="B13" s="12"/>
      <c r="C13" s="12"/>
      <c r="D13" s="12"/>
      <c r="E13" s="12"/>
      <c r="F13" s="12"/>
      <c r="G13" s="12"/>
      <c r="H13" s="12"/>
      <c r="I13" s="12"/>
      <c r="J13" s="12"/>
      <c r="K13" s="12"/>
      <c r="L13" s="12"/>
      <c r="M13" s="12"/>
      <c r="N13" s="12"/>
    </row>
    <row r="14" customFormat="false" ht="15" hidden="false" customHeight="true" outlineLevel="0" collapsed="false">
      <c r="A14" s="12"/>
      <c r="B14" s="12"/>
      <c r="C14" s="12"/>
      <c r="D14" s="12"/>
      <c r="E14" s="12"/>
      <c r="F14" s="12"/>
      <c r="G14" s="12"/>
      <c r="H14" s="12"/>
      <c r="I14" s="12"/>
      <c r="J14" s="12"/>
      <c r="K14" s="12"/>
      <c r="L14" s="12"/>
      <c r="M14" s="12"/>
      <c r="N14" s="12"/>
    </row>
    <row r="15" customFormat="false" ht="15" hidden="false" customHeight="true" outlineLevel="0" collapsed="false">
      <c r="A15" s="12"/>
      <c r="B15" s="12"/>
      <c r="C15" s="12"/>
      <c r="D15" s="12"/>
      <c r="E15" s="12"/>
      <c r="F15" s="12"/>
      <c r="G15" s="12"/>
      <c r="H15" s="12"/>
      <c r="I15" s="12"/>
      <c r="J15" s="12"/>
      <c r="K15" s="12"/>
      <c r="L15" s="12"/>
      <c r="M15" s="12"/>
      <c r="N15" s="12"/>
    </row>
    <row r="16" customFormat="false" ht="15" hidden="false" customHeight="true" outlineLevel="0" collapsed="false">
      <c r="A16" s="12"/>
      <c r="B16" s="12"/>
      <c r="C16" s="12"/>
      <c r="D16" s="12"/>
      <c r="E16" s="12"/>
      <c r="F16" s="12"/>
      <c r="G16" s="12"/>
      <c r="H16" s="12"/>
      <c r="I16" s="12"/>
      <c r="J16" s="12"/>
      <c r="K16" s="12"/>
      <c r="L16" s="12"/>
      <c r="M16" s="12"/>
      <c r="N16" s="12"/>
    </row>
    <row r="17" customFormat="false" ht="15" hidden="false" customHeight="true" outlineLevel="0" collapsed="false">
      <c r="A17" s="12"/>
      <c r="B17" s="12"/>
      <c r="C17" s="12"/>
      <c r="D17" s="12"/>
      <c r="E17" s="12"/>
      <c r="F17" s="12"/>
      <c r="G17" s="12"/>
      <c r="H17" s="12"/>
      <c r="I17" s="12"/>
      <c r="J17" s="12"/>
      <c r="K17" s="12"/>
      <c r="L17" s="12"/>
      <c r="M17" s="12"/>
      <c r="N17" s="12"/>
    </row>
    <row r="18" customFormat="false" ht="15" hidden="false" customHeight="true" outlineLevel="0" collapsed="false">
      <c r="A18" s="12"/>
      <c r="B18" s="12"/>
      <c r="C18" s="12"/>
      <c r="D18" s="12"/>
      <c r="E18" s="12"/>
      <c r="F18" s="12"/>
      <c r="G18" s="12"/>
      <c r="H18" s="12"/>
      <c r="I18" s="12"/>
      <c r="J18" s="12"/>
      <c r="K18" s="12"/>
      <c r="L18" s="12"/>
      <c r="M18" s="12"/>
      <c r="N18" s="12"/>
    </row>
    <row r="19" customFormat="false" ht="15" hidden="false" customHeight="true" outlineLevel="0" collapsed="false">
      <c r="A19" s="12"/>
      <c r="B19" s="12"/>
      <c r="C19" s="12"/>
      <c r="D19" s="12"/>
      <c r="E19" s="12"/>
      <c r="F19" s="12"/>
      <c r="G19" s="12"/>
      <c r="H19" s="12"/>
      <c r="I19" s="12"/>
      <c r="J19" s="12"/>
      <c r="K19" s="12"/>
      <c r="L19" s="12"/>
      <c r="M19" s="12"/>
      <c r="N19" s="12"/>
    </row>
    <row r="20" customFormat="false" ht="15" hidden="false" customHeight="true" outlineLevel="0" collapsed="false">
      <c r="A20" s="12"/>
      <c r="B20" s="12"/>
      <c r="C20" s="12"/>
      <c r="D20" s="12"/>
      <c r="E20" s="12"/>
      <c r="F20" s="12"/>
      <c r="G20" s="12"/>
      <c r="H20" s="12"/>
      <c r="I20" s="12"/>
      <c r="J20" s="12"/>
      <c r="K20" s="12"/>
      <c r="L20" s="12"/>
      <c r="M20" s="12"/>
      <c r="N20" s="12"/>
    </row>
    <row r="21" customFormat="false" ht="15" hidden="false" customHeight="true" outlineLevel="0" collapsed="false">
      <c r="A21" s="12"/>
      <c r="B21" s="12"/>
      <c r="C21" s="12"/>
      <c r="D21" s="12"/>
      <c r="E21" s="12"/>
      <c r="F21" s="12"/>
      <c r="G21" s="12"/>
      <c r="H21" s="12"/>
      <c r="I21" s="12"/>
      <c r="J21" s="12"/>
      <c r="K21" s="12"/>
      <c r="L21" s="12"/>
      <c r="M21" s="12"/>
      <c r="N21" s="12"/>
    </row>
    <row r="22" customFormat="false" ht="15" hidden="false" customHeight="true" outlineLevel="0" collapsed="false">
      <c r="A22" s="12"/>
      <c r="B22" s="12"/>
      <c r="C22" s="12"/>
      <c r="D22" s="12"/>
      <c r="E22" s="12"/>
      <c r="F22" s="12"/>
      <c r="G22" s="12"/>
      <c r="H22" s="12"/>
      <c r="I22" s="12"/>
      <c r="J22" s="12"/>
      <c r="K22" s="12"/>
      <c r="L22" s="12"/>
      <c r="M22" s="12"/>
      <c r="N22" s="12"/>
    </row>
    <row r="23" customFormat="false" ht="15" hidden="false" customHeight="true" outlineLevel="0" collapsed="false">
      <c r="A23" s="12"/>
      <c r="B23" s="12"/>
      <c r="C23" s="12"/>
      <c r="D23" s="12"/>
      <c r="E23" s="12"/>
      <c r="F23" s="12"/>
      <c r="G23" s="12"/>
      <c r="H23" s="12"/>
      <c r="I23" s="12"/>
      <c r="J23" s="12"/>
      <c r="K23" s="12"/>
      <c r="L23" s="12"/>
      <c r="M23" s="12"/>
      <c r="N23" s="12"/>
    </row>
    <row r="24" customFormat="false" ht="15" hidden="false" customHeight="true" outlineLevel="0" collapsed="false">
      <c r="A24" s="12"/>
      <c r="B24" s="12"/>
      <c r="C24" s="12"/>
      <c r="D24" s="12"/>
      <c r="E24" s="12"/>
      <c r="F24" s="12"/>
      <c r="G24" s="12"/>
      <c r="H24" s="12"/>
      <c r="I24" s="12"/>
      <c r="J24" s="12"/>
      <c r="K24" s="12"/>
      <c r="L24" s="12"/>
      <c r="M24" s="12"/>
      <c r="N24" s="12"/>
    </row>
    <row r="25" customFormat="false" ht="15" hidden="false" customHeight="true" outlineLevel="0" collapsed="false">
      <c r="A25" s="12"/>
      <c r="B25" s="12"/>
      <c r="C25" s="12"/>
      <c r="D25" s="12"/>
      <c r="E25" s="12"/>
      <c r="F25" s="12"/>
      <c r="G25" s="12"/>
      <c r="H25" s="12"/>
      <c r="I25" s="12"/>
      <c r="J25" s="12"/>
      <c r="K25" s="12"/>
      <c r="L25" s="12"/>
      <c r="M25" s="12"/>
      <c r="N25" s="12"/>
    </row>
    <row r="26" customFormat="false" ht="15" hidden="false" customHeight="true" outlineLevel="0" collapsed="false">
      <c r="A26" s="12"/>
      <c r="B26" s="12"/>
      <c r="C26" s="12"/>
      <c r="D26" s="12"/>
      <c r="E26" s="12"/>
      <c r="F26" s="12"/>
      <c r="G26" s="12"/>
      <c r="H26" s="12"/>
      <c r="I26" s="12"/>
      <c r="J26" s="12"/>
      <c r="K26" s="12"/>
      <c r="L26" s="12"/>
      <c r="M26" s="12"/>
      <c r="N26" s="12"/>
    </row>
    <row r="27" customFormat="false" ht="15" hidden="false" customHeight="true" outlineLevel="0" collapsed="false">
      <c r="A27" s="12"/>
      <c r="B27" s="12"/>
      <c r="C27" s="12"/>
      <c r="D27" s="12"/>
      <c r="E27" s="12"/>
      <c r="F27" s="12"/>
      <c r="G27" s="12"/>
      <c r="H27" s="12"/>
      <c r="I27" s="12"/>
      <c r="J27" s="12"/>
      <c r="K27" s="12"/>
      <c r="L27" s="12"/>
      <c r="M27" s="12"/>
      <c r="N27" s="12"/>
    </row>
    <row r="28" customFormat="false" ht="15" hidden="false" customHeight="true" outlineLevel="0" collapsed="false">
      <c r="A28" s="12"/>
      <c r="B28" s="12"/>
      <c r="C28" s="12"/>
      <c r="D28" s="12"/>
      <c r="E28" s="12"/>
      <c r="F28" s="12"/>
      <c r="G28" s="12"/>
      <c r="H28" s="12"/>
      <c r="I28" s="12"/>
      <c r="J28" s="12"/>
      <c r="K28" s="12"/>
      <c r="L28" s="12"/>
      <c r="M28" s="12"/>
      <c r="N28" s="12"/>
    </row>
    <row r="29" customFormat="false" ht="15" hidden="false" customHeight="true" outlineLevel="0" collapsed="false">
      <c r="A29" s="12"/>
      <c r="B29" s="12"/>
      <c r="C29" s="12"/>
      <c r="D29" s="12"/>
      <c r="E29" s="12"/>
      <c r="F29" s="12"/>
      <c r="G29" s="12"/>
      <c r="H29" s="12"/>
      <c r="I29" s="12"/>
      <c r="J29" s="12"/>
      <c r="K29" s="12"/>
      <c r="L29" s="12"/>
      <c r="M29" s="12"/>
      <c r="N29" s="12"/>
    </row>
    <row r="30" customFormat="false" ht="15" hidden="false" customHeight="true" outlineLevel="0" collapsed="false">
      <c r="A30" s="12"/>
      <c r="B30" s="12"/>
      <c r="C30" s="12"/>
      <c r="D30" s="12"/>
      <c r="E30" s="12"/>
      <c r="F30" s="12"/>
      <c r="G30" s="12"/>
      <c r="H30" s="12"/>
      <c r="I30" s="12"/>
      <c r="J30" s="12"/>
      <c r="K30" s="12"/>
      <c r="L30" s="12"/>
      <c r="M30" s="12"/>
      <c r="N30" s="12"/>
    </row>
    <row r="31" customFormat="false" ht="15" hidden="false" customHeight="true" outlineLevel="0" collapsed="false">
      <c r="A31" s="12"/>
      <c r="B31" s="12"/>
      <c r="C31" s="12"/>
      <c r="D31" s="12"/>
      <c r="E31" s="12"/>
      <c r="F31" s="12"/>
      <c r="G31" s="12"/>
      <c r="H31" s="12"/>
      <c r="I31" s="12"/>
      <c r="J31" s="12"/>
      <c r="K31" s="12"/>
      <c r="L31" s="12"/>
      <c r="M31" s="12"/>
      <c r="N31" s="12"/>
    </row>
    <row r="32" customFormat="false" ht="15" hidden="false" customHeight="true" outlineLevel="0" collapsed="false">
      <c r="A32" s="12"/>
      <c r="B32" s="12"/>
      <c r="C32" s="12"/>
      <c r="D32" s="12"/>
      <c r="E32" s="12"/>
      <c r="F32" s="12"/>
      <c r="G32" s="12"/>
      <c r="H32" s="12"/>
      <c r="I32" s="12"/>
      <c r="J32" s="12"/>
      <c r="K32" s="12"/>
      <c r="L32" s="12"/>
      <c r="M32" s="12"/>
      <c r="N32" s="12"/>
    </row>
    <row r="33" customFormat="false" ht="15" hidden="false" customHeight="true" outlineLevel="0" collapsed="false">
      <c r="A33" s="12"/>
      <c r="B33" s="12"/>
      <c r="C33" s="12"/>
      <c r="D33" s="12"/>
      <c r="E33" s="12"/>
      <c r="F33" s="12"/>
      <c r="G33" s="12"/>
      <c r="H33" s="12"/>
      <c r="I33" s="12"/>
      <c r="J33" s="12"/>
      <c r="K33" s="12"/>
      <c r="L33" s="12"/>
      <c r="M33" s="12"/>
      <c r="N33" s="12"/>
    </row>
    <row r="34" customFormat="false" ht="15" hidden="false" customHeight="true" outlineLevel="0" collapsed="false">
      <c r="A34" s="12"/>
      <c r="B34" s="12"/>
      <c r="C34" s="12"/>
      <c r="D34" s="12"/>
      <c r="E34" s="12"/>
      <c r="F34" s="12"/>
      <c r="G34" s="12"/>
      <c r="H34" s="12"/>
      <c r="I34" s="12"/>
      <c r="J34" s="12"/>
      <c r="K34" s="12"/>
      <c r="L34" s="12"/>
      <c r="M34" s="12"/>
      <c r="N34" s="12"/>
    </row>
    <row r="35" customFormat="false" ht="15" hidden="false" customHeight="true" outlineLevel="0" collapsed="false">
      <c r="A35" s="12"/>
      <c r="B35" s="12"/>
      <c r="C35" s="12"/>
      <c r="D35" s="12"/>
      <c r="E35" s="12"/>
      <c r="F35" s="12"/>
      <c r="G35" s="12"/>
      <c r="H35" s="12"/>
      <c r="I35" s="12"/>
      <c r="J35" s="12"/>
      <c r="K35" s="12"/>
      <c r="L35" s="12"/>
      <c r="M35" s="12"/>
      <c r="N35" s="12"/>
    </row>
    <row r="36" customFormat="false" ht="15" hidden="false" customHeight="true" outlineLevel="0" collapsed="false">
      <c r="A36" s="12"/>
      <c r="B36" s="12"/>
      <c r="C36" s="12"/>
      <c r="D36" s="12"/>
      <c r="E36" s="12"/>
      <c r="F36" s="12"/>
      <c r="G36" s="12"/>
      <c r="H36" s="12"/>
      <c r="I36" s="12"/>
      <c r="J36" s="12"/>
      <c r="K36" s="12"/>
      <c r="L36" s="12"/>
      <c r="M36" s="12"/>
      <c r="N36" s="12"/>
    </row>
    <row r="37" customFormat="false" ht="15" hidden="false" customHeight="true" outlineLevel="0" collapsed="false">
      <c r="A37" s="12"/>
      <c r="B37" s="12"/>
      <c r="C37" s="12"/>
      <c r="D37" s="12"/>
      <c r="E37" s="12"/>
      <c r="F37" s="12"/>
      <c r="G37" s="12"/>
      <c r="H37" s="12"/>
      <c r="I37" s="12"/>
      <c r="J37" s="12"/>
      <c r="K37" s="12"/>
      <c r="L37" s="12"/>
      <c r="M37" s="12"/>
      <c r="N37" s="12"/>
    </row>
    <row r="38" customFormat="false" ht="15" hidden="false" customHeight="true" outlineLevel="0" collapsed="false">
      <c r="A38" s="12"/>
      <c r="B38" s="12"/>
      <c r="C38" s="12"/>
      <c r="D38" s="12"/>
      <c r="E38" s="12"/>
      <c r="F38" s="12"/>
      <c r="G38" s="12"/>
      <c r="H38" s="12"/>
      <c r="I38" s="12"/>
      <c r="J38" s="12"/>
      <c r="K38" s="12"/>
      <c r="L38" s="12"/>
      <c r="M38" s="12"/>
      <c r="N38" s="12"/>
    </row>
    <row r="39" customFormat="false" ht="15" hidden="false" customHeight="true" outlineLevel="0" collapsed="false">
      <c r="A39" s="12"/>
      <c r="B39" s="12"/>
      <c r="C39" s="12"/>
      <c r="D39" s="12"/>
      <c r="E39" s="12"/>
      <c r="F39" s="12"/>
      <c r="G39" s="12"/>
      <c r="H39" s="12"/>
      <c r="I39" s="12"/>
      <c r="J39" s="12"/>
      <c r="K39" s="12"/>
      <c r="L39" s="12"/>
      <c r="M39" s="12"/>
      <c r="N39" s="12"/>
    </row>
    <row r="40" customFormat="false" ht="15" hidden="false" customHeight="true" outlineLevel="0" collapsed="false">
      <c r="A40" s="12"/>
      <c r="B40" s="12"/>
      <c r="C40" s="12"/>
      <c r="D40" s="12"/>
      <c r="E40" s="12"/>
      <c r="F40" s="12"/>
      <c r="G40" s="12"/>
      <c r="H40" s="12"/>
      <c r="I40" s="12"/>
      <c r="J40" s="12"/>
      <c r="K40" s="12"/>
      <c r="L40" s="12"/>
      <c r="M40" s="12"/>
      <c r="N40" s="12"/>
    </row>
    <row r="41" customFormat="false" ht="15" hidden="false" customHeight="true" outlineLevel="0" collapsed="false">
      <c r="A41" s="12"/>
      <c r="B41" s="12"/>
      <c r="C41" s="12"/>
      <c r="D41" s="12"/>
      <c r="E41" s="12"/>
      <c r="F41" s="12"/>
      <c r="G41" s="12"/>
      <c r="H41" s="12"/>
      <c r="I41" s="12"/>
      <c r="J41" s="12"/>
      <c r="K41" s="12"/>
      <c r="L41" s="12"/>
      <c r="M41" s="12"/>
      <c r="N41" s="12"/>
    </row>
    <row r="42" customFormat="false" ht="15" hidden="false" customHeight="true" outlineLevel="0" collapsed="false">
      <c r="A42" s="12"/>
      <c r="B42" s="12"/>
      <c r="C42" s="12"/>
      <c r="D42" s="12"/>
      <c r="E42" s="12"/>
      <c r="F42" s="12"/>
      <c r="G42" s="12"/>
      <c r="H42" s="12"/>
      <c r="I42" s="12"/>
      <c r="J42" s="12"/>
      <c r="K42" s="12"/>
      <c r="L42" s="12"/>
      <c r="M42" s="12"/>
      <c r="N42" s="12"/>
    </row>
    <row r="43" customFormat="false" ht="15" hidden="false" customHeight="true" outlineLevel="0" collapsed="false">
      <c r="A43" s="12"/>
      <c r="B43" s="12"/>
      <c r="C43" s="12"/>
      <c r="D43" s="12"/>
      <c r="E43" s="12"/>
      <c r="F43" s="12"/>
      <c r="G43" s="12"/>
      <c r="H43" s="12"/>
      <c r="I43" s="12"/>
      <c r="J43" s="12"/>
      <c r="K43" s="12"/>
      <c r="L43" s="12"/>
      <c r="M43" s="12"/>
      <c r="N43" s="12"/>
    </row>
    <row r="44" customFormat="false" ht="15" hidden="false" customHeight="true" outlineLevel="0" collapsed="false">
      <c r="A44" s="12"/>
      <c r="B44" s="12"/>
      <c r="C44" s="12"/>
      <c r="D44" s="12"/>
      <c r="E44" s="12"/>
      <c r="F44" s="12"/>
      <c r="G44" s="12"/>
      <c r="H44" s="12"/>
      <c r="I44" s="12"/>
      <c r="J44" s="12"/>
      <c r="K44" s="12"/>
      <c r="L44" s="12"/>
      <c r="M44" s="12"/>
      <c r="N44" s="12"/>
    </row>
    <row r="45" customFormat="false" ht="15" hidden="false" customHeight="true" outlineLevel="0" collapsed="false">
      <c r="A45" s="12"/>
      <c r="B45" s="12"/>
      <c r="C45" s="12"/>
      <c r="D45" s="12"/>
      <c r="E45" s="12"/>
      <c r="F45" s="12"/>
      <c r="G45" s="12"/>
      <c r="H45" s="12"/>
      <c r="I45" s="12"/>
      <c r="J45" s="12"/>
      <c r="K45" s="12"/>
      <c r="L45" s="12"/>
      <c r="M45" s="12"/>
      <c r="N45" s="12"/>
    </row>
    <row r="46" customFormat="false" ht="15" hidden="false" customHeight="true" outlineLevel="0" collapsed="false">
      <c r="A46" s="12"/>
      <c r="B46" s="12"/>
      <c r="C46" s="12"/>
      <c r="D46" s="12"/>
      <c r="E46" s="12"/>
      <c r="F46" s="12"/>
      <c r="G46" s="12"/>
      <c r="H46" s="12"/>
      <c r="I46" s="12"/>
      <c r="J46" s="12"/>
      <c r="K46" s="12"/>
      <c r="L46" s="12"/>
      <c r="M46" s="12"/>
      <c r="N46" s="12"/>
    </row>
    <row r="47" customFormat="false" ht="15" hidden="false" customHeight="true" outlineLevel="0" collapsed="false">
      <c r="A47" s="12"/>
      <c r="B47" s="12"/>
      <c r="C47" s="12"/>
      <c r="D47" s="12"/>
      <c r="E47" s="12"/>
      <c r="F47" s="12"/>
      <c r="G47" s="12"/>
      <c r="H47" s="12"/>
      <c r="I47" s="12"/>
      <c r="J47" s="12"/>
      <c r="K47" s="12"/>
      <c r="L47" s="12"/>
      <c r="M47" s="12"/>
      <c r="N47" s="12"/>
    </row>
    <row r="48" customFormat="false" ht="15" hidden="false" customHeight="true" outlineLevel="0" collapsed="false">
      <c r="A48" s="12"/>
      <c r="B48" s="12"/>
      <c r="C48" s="12"/>
      <c r="D48" s="12"/>
      <c r="E48" s="12"/>
      <c r="F48" s="12"/>
      <c r="G48" s="12"/>
      <c r="H48" s="12"/>
      <c r="I48" s="12"/>
      <c r="J48" s="12"/>
      <c r="K48" s="12"/>
      <c r="L48" s="12"/>
      <c r="M48" s="12"/>
      <c r="N48" s="12"/>
    </row>
    <row r="49" customFormat="false" ht="15" hidden="false" customHeight="true" outlineLevel="0" collapsed="false">
      <c r="A49" s="12"/>
      <c r="B49" s="12"/>
      <c r="C49" s="12"/>
      <c r="D49" s="12"/>
      <c r="E49" s="12"/>
      <c r="F49" s="12"/>
      <c r="G49" s="12"/>
      <c r="H49" s="12"/>
      <c r="I49" s="12"/>
      <c r="J49" s="12"/>
      <c r="K49" s="12"/>
      <c r="L49" s="12"/>
      <c r="M49" s="12"/>
      <c r="N49" s="12"/>
    </row>
    <row r="50" customFormat="false" ht="15" hidden="false" customHeight="true" outlineLevel="0" collapsed="false">
      <c r="A50" s="12"/>
      <c r="B50" s="12"/>
      <c r="C50" s="12"/>
      <c r="D50" s="12"/>
      <c r="E50" s="12"/>
      <c r="F50" s="12"/>
      <c r="G50" s="12"/>
      <c r="H50" s="12"/>
      <c r="I50" s="12"/>
      <c r="J50" s="12"/>
      <c r="K50" s="12"/>
      <c r="L50" s="12"/>
      <c r="M50" s="12"/>
      <c r="N50" s="12"/>
    </row>
    <row r="51" customFormat="false" ht="15" hidden="false" customHeight="true" outlineLevel="0" collapsed="false">
      <c r="A51" s="12"/>
      <c r="B51" s="12"/>
      <c r="C51" s="12"/>
      <c r="D51" s="12"/>
      <c r="E51" s="12"/>
      <c r="F51" s="12"/>
      <c r="G51" s="12"/>
      <c r="H51" s="12"/>
      <c r="I51" s="12"/>
      <c r="J51" s="12"/>
      <c r="K51" s="12"/>
      <c r="L51" s="12"/>
      <c r="M51" s="12"/>
      <c r="N51" s="12"/>
    </row>
    <row r="52" customFormat="false" ht="15" hidden="false" customHeight="true" outlineLevel="0" collapsed="false">
      <c r="A52" s="12"/>
      <c r="B52" s="12"/>
      <c r="C52" s="12"/>
      <c r="D52" s="12"/>
      <c r="E52" s="12"/>
      <c r="F52" s="12"/>
      <c r="G52" s="12"/>
      <c r="H52" s="12"/>
      <c r="I52" s="12"/>
      <c r="J52" s="12"/>
      <c r="K52" s="12"/>
      <c r="L52" s="12"/>
      <c r="M52" s="12"/>
      <c r="N52" s="12"/>
    </row>
    <row r="53" customFormat="false" ht="15" hidden="false" customHeight="true" outlineLevel="0" collapsed="false">
      <c r="A53" s="12"/>
      <c r="B53" s="12"/>
      <c r="C53" s="12"/>
      <c r="D53" s="12"/>
      <c r="E53" s="12"/>
      <c r="F53" s="12"/>
      <c r="G53" s="12"/>
      <c r="H53" s="12"/>
      <c r="I53" s="12"/>
      <c r="J53" s="12"/>
      <c r="K53" s="12"/>
      <c r="L53" s="12"/>
      <c r="M53" s="12"/>
      <c r="N53" s="12"/>
    </row>
    <row r="54" customFormat="false" ht="15" hidden="false" customHeight="true" outlineLevel="0" collapsed="false">
      <c r="A54" s="12"/>
      <c r="B54" s="12"/>
      <c r="C54" s="12"/>
      <c r="D54" s="12"/>
      <c r="E54" s="12"/>
      <c r="F54" s="12"/>
      <c r="G54" s="12"/>
      <c r="H54" s="12"/>
      <c r="I54" s="12"/>
      <c r="J54" s="12"/>
      <c r="K54" s="12"/>
      <c r="L54" s="12"/>
      <c r="M54" s="12"/>
      <c r="N54" s="12"/>
    </row>
    <row r="55" customFormat="false" ht="15" hidden="false" customHeight="true" outlineLevel="0" collapsed="false">
      <c r="A55" s="12"/>
      <c r="B55" s="12"/>
      <c r="C55" s="12"/>
      <c r="D55" s="12"/>
      <c r="E55" s="12"/>
      <c r="F55" s="12"/>
      <c r="G55" s="12"/>
      <c r="H55" s="12"/>
      <c r="I55" s="12"/>
      <c r="J55" s="12"/>
      <c r="K55" s="12"/>
      <c r="L55" s="12"/>
      <c r="M55" s="12"/>
      <c r="N55" s="12"/>
    </row>
    <row r="56" customFormat="false" ht="15" hidden="false" customHeight="true" outlineLevel="0" collapsed="false">
      <c r="A56" s="12"/>
      <c r="B56" s="12"/>
      <c r="C56" s="12"/>
      <c r="D56" s="12"/>
      <c r="E56" s="12"/>
      <c r="F56" s="12"/>
      <c r="G56" s="12"/>
      <c r="H56" s="12"/>
      <c r="I56" s="12"/>
      <c r="J56" s="12"/>
      <c r="K56" s="12"/>
      <c r="L56" s="12"/>
      <c r="M56" s="12"/>
      <c r="N56" s="12"/>
    </row>
    <row r="57" customFormat="false" ht="15" hidden="false" customHeight="true" outlineLevel="0" collapsed="false">
      <c r="A57" s="12"/>
      <c r="B57" s="12"/>
      <c r="C57" s="12"/>
      <c r="D57" s="12"/>
      <c r="E57" s="12"/>
      <c r="F57" s="12"/>
      <c r="G57" s="12"/>
      <c r="H57" s="12"/>
      <c r="I57" s="12"/>
      <c r="J57" s="12"/>
      <c r="K57" s="12"/>
      <c r="L57" s="12"/>
      <c r="M57" s="12"/>
      <c r="N57" s="12"/>
    </row>
    <row r="58" customFormat="false" ht="15" hidden="false" customHeight="true" outlineLevel="0" collapsed="false">
      <c r="A58" s="12"/>
      <c r="B58" s="12"/>
      <c r="C58" s="12"/>
      <c r="D58" s="12"/>
      <c r="E58" s="12"/>
      <c r="F58" s="12"/>
      <c r="G58" s="12"/>
      <c r="H58" s="12"/>
      <c r="I58" s="12"/>
      <c r="J58" s="12"/>
      <c r="K58" s="12"/>
      <c r="L58" s="12"/>
      <c r="M58" s="12"/>
      <c r="N58" s="12"/>
    </row>
    <row r="59" customFormat="false" ht="15" hidden="false" customHeight="true" outlineLevel="0" collapsed="false">
      <c r="A59" s="12"/>
      <c r="B59" s="12"/>
      <c r="C59" s="12"/>
      <c r="D59" s="12"/>
      <c r="E59" s="12"/>
      <c r="F59" s="12"/>
      <c r="G59" s="12"/>
      <c r="H59" s="12"/>
      <c r="I59" s="12"/>
      <c r="J59" s="12"/>
      <c r="K59" s="12"/>
      <c r="L59" s="12"/>
      <c r="M59" s="12"/>
      <c r="N59" s="12"/>
    </row>
    <row r="60" customFormat="false" ht="15" hidden="false" customHeight="true" outlineLevel="0" collapsed="false">
      <c r="A60" s="12"/>
      <c r="B60" s="12"/>
      <c r="C60" s="12"/>
      <c r="D60" s="12"/>
      <c r="E60" s="12"/>
      <c r="F60" s="12"/>
      <c r="G60" s="12"/>
      <c r="H60" s="12"/>
      <c r="I60" s="12"/>
      <c r="J60" s="12"/>
      <c r="K60" s="12"/>
      <c r="L60" s="12"/>
      <c r="M60" s="12"/>
      <c r="N60" s="12"/>
    </row>
    <row r="61" customFormat="false" ht="15" hidden="false" customHeight="true" outlineLevel="0" collapsed="false">
      <c r="A61" s="12"/>
      <c r="B61" s="12"/>
      <c r="C61" s="12"/>
      <c r="D61" s="12"/>
      <c r="E61" s="12"/>
      <c r="F61" s="12"/>
      <c r="G61" s="12"/>
      <c r="H61" s="12"/>
      <c r="I61" s="12"/>
      <c r="J61" s="12"/>
      <c r="K61" s="12"/>
      <c r="L61" s="12"/>
      <c r="M61" s="12"/>
      <c r="N61" s="12"/>
    </row>
    <row r="62" customFormat="false" ht="15" hidden="false" customHeight="true" outlineLevel="0" collapsed="false">
      <c r="A62" s="12"/>
      <c r="B62" s="12"/>
      <c r="C62" s="12"/>
      <c r="D62" s="12"/>
      <c r="E62" s="12"/>
      <c r="F62" s="12"/>
      <c r="G62" s="12"/>
      <c r="H62" s="12"/>
      <c r="I62" s="12"/>
      <c r="J62" s="12"/>
      <c r="K62" s="12"/>
      <c r="L62" s="12"/>
      <c r="M62" s="12"/>
      <c r="N62" s="12"/>
    </row>
    <row r="63" customFormat="false" ht="15" hidden="false" customHeight="true" outlineLevel="0" collapsed="false">
      <c r="A63" s="12"/>
      <c r="B63" s="12"/>
      <c r="C63" s="12"/>
      <c r="D63" s="12"/>
      <c r="E63" s="12"/>
      <c r="F63" s="12"/>
      <c r="G63" s="12"/>
      <c r="H63" s="12"/>
      <c r="I63" s="12"/>
      <c r="J63" s="12"/>
      <c r="K63" s="12"/>
      <c r="L63" s="12"/>
      <c r="M63" s="12"/>
      <c r="N63" s="12"/>
    </row>
    <row r="64" customFormat="false" ht="15" hidden="false" customHeight="true" outlineLevel="0" collapsed="false">
      <c r="A64" s="12"/>
      <c r="B64" s="12"/>
      <c r="C64" s="12"/>
      <c r="D64" s="12"/>
      <c r="E64" s="12"/>
      <c r="F64" s="12"/>
      <c r="G64" s="12"/>
      <c r="H64" s="12"/>
      <c r="I64" s="12"/>
      <c r="J64" s="12"/>
      <c r="K64" s="12"/>
      <c r="L64" s="12"/>
      <c r="M64" s="12"/>
      <c r="N64" s="12"/>
    </row>
    <row r="65" customFormat="false" ht="15" hidden="false" customHeight="true" outlineLevel="0" collapsed="false">
      <c r="A65" s="12"/>
      <c r="B65" s="12"/>
      <c r="C65" s="12"/>
      <c r="D65" s="12"/>
      <c r="E65" s="12"/>
      <c r="F65" s="12"/>
      <c r="G65" s="12"/>
      <c r="H65" s="12"/>
      <c r="I65" s="12"/>
      <c r="J65" s="12"/>
      <c r="K65" s="12"/>
      <c r="L65" s="12"/>
      <c r="M65" s="12"/>
      <c r="N65" s="12"/>
    </row>
    <row r="66" customFormat="false" ht="15" hidden="false" customHeight="true" outlineLevel="0" collapsed="false">
      <c r="A66" s="12"/>
      <c r="B66" s="12"/>
      <c r="C66" s="12"/>
      <c r="D66" s="12"/>
      <c r="E66" s="12"/>
      <c r="F66" s="12"/>
      <c r="G66" s="12"/>
      <c r="H66" s="12"/>
      <c r="I66" s="12"/>
      <c r="J66" s="12"/>
      <c r="K66" s="12"/>
      <c r="L66" s="12"/>
      <c r="M66" s="12"/>
      <c r="N66" s="12"/>
    </row>
    <row r="67" customFormat="false" ht="15" hidden="false" customHeight="true" outlineLevel="0" collapsed="false">
      <c r="A67" s="12"/>
      <c r="B67" s="12"/>
      <c r="C67" s="12"/>
      <c r="D67" s="12"/>
      <c r="E67" s="12"/>
      <c r="F67" s="12"/>
      <c r="G67" s="12"/>
      <c r="H67" s="12"/>
      <c r="I67" s="12"/>
      <c r="J67" s="12"/>
      <c r="K67" s="12"/>
      <c r="L67" s="12"/>
      <c r="M67" s="12"/>
      <c r="N67" s="12"/>
    </row>
    <row r="68" customFormat="false" ht="15" hidden="false" customHeight="true" outlineLevel="0" collapsed="false">
      <c r="A68" s="12"/>
      <c r="B68" s="12"/>
      <c r="C68" s="12"/>
      <c r="D68" s="12"/>
      <c r="E68" s="12"/>
      <c r="F68" s="12"/>
      <c r="G68" s="12"/>
      <c r="H68" s="12"/>
      <c r="I68" s="12"/>
      <c r="J68" s="12"/>
      <c r="K68" s="12"/>
      <c r="L68" s="12"/>
      <c r="M68" s="12"/>
      <c r="N68" s="12"/>
    </row>
    <row r="69" customFormat="false" ht="15" hidden="false" customHeight="true" outlineLevel="0" collapsed="false">
      <c r="A69" s="12"/>
      <c r="B69" s="12"/>
      <c r="C69" s="12"/>
      <c r="D69" s="12"/>
      <c r="E69" s="12"/>
      <c r="F69" s="12"/>
      <c r="G69" s="12"/>
      <c r="H69" s="12"/>
      <c r="I69" s="12"/>
      <c r="J69" s="12"/>
      <c r="K69" s="12"/>
      <c r="L69" s="12"/>
      <c r="M69" s="12"/>
      <c r="N69" s="12"/>
    </row>
    <row r="70" customFormat="false" ht="15" hidden="false" customHeight="true" outlineLevel="0" collapsed="false">
      <c r="A70" s="12"/>
      <c r="B70" s="12"/>
      <c r="C70" s="12"/>
      <c r="D70" s="12"/>
      <c r="E70" s="12"/>
      <c r="F70" s="12"/>
      <c r="G70" s="12"/>
      <c r="H70" s="12"/>
      <c r="I70" s="12"/>
      <c r="J70" s="12"/>
      <c r="K70" s="12"/>
      <c r="L70" s="12"/>
      <c r="M70" s="12"/>
      <c r="N70" s="12"/>
    </row>
    <row r="71" customFormat="false" ht="15" hidden="false" customHeight="true" outlineLevel="0" collapsed="false">
      <c r="A71" s="12"/>
      <c r="B71" s="12"/>
      <c r="C71" s="12"/>
      <c r="D71" s="12"/>
      <c r="E71" s="12"/>
      <c r="F71" s="12"/>
      <c r="G71" s="12"/>
      <c r="H71" s="12"/>
      <c r="I71" s="12"/>
      <c r="J71" s="12"/>
      <c r="K71" s="12"/>
      <c r="L71" s="12"/>
      <c r="M71" s="12"/>
      <c r="N71" s="12"/>
    </row>
    <row r="72" customFormat="false" ht="15" hidden="false" customHeight="true" outlineLevel="0" collapsed="false">
      <c r="A72" s="12"/>
      <c r="B72" s="12"/>
      <c r="C72" s="12"/>
      <c r="D72" s="12"/>
      <c r="E72" s="12"/>
      <c r="F72" s="12"/>
      <c r="G72" s="12"/>
      <c r="H72" s="12"/>
      <c r="I72" s="12"/>
      <c r="J72" s="12"/>
      <c r="K72" s="12"/>
      <c r="L72" s="12"/>
      <c r="M72" s="12"/>
      <c r="N72" s="12"/>
    </row>
    <row r="73" customFormat="false" ht="15" hidden="false" customHeight="true" outlineLevel="0" collapsed="false">
      <c r="A73" s="12"/>
      <c r="B73" s="12"/>
      <c r="C73" s="12"/>
      <c r="D73" s="12"/>
      <c r="E73" s="12"/>
      <c r="F73" s="12"/>
      <c r="G73" s="12"/>
      <c r="H73" s="12"/>
      <c r="I73" s="12"/>
      <c r="J73" s="12"/>
      <c r="K73" s="12"/>
      <c r="L73" s="12"/>
      <c r="M73" s="12"/>
      <c r="N73" s="12"/>
    </row>
    <row r="74" customFormat="false" ht="15" hidden="false" customHeight="true" outlineLevel="0" collapsed="false">
      <c r="A74" s="12"/>
      <c r="B74" s="12"/>
      <c r="C74" s="12"/>
      <c r="D74" s="12"/>
      <c r="E74" s="12"/>
      <c r="F74" s="12"/>
      <c r="G74" s="12"/>
      <c r="H74" s="12"/>
      <c r="I74" s="12"/>
      <c r="J74" s="12"/>
      <c r="K74" s="12"/>
      <c r="L74" s="12"/>
      <c r="M74" s="12"/>
      <c r="N74" s="12"/>
    </row>
    <row r="75" customFormat="false" ht="15" hidden="false" customHeight="true" outlineLevel="0" collapsed="false">
      <c r="A75" s="12"/>
      <c r="B75" s="12"/>
      <c r="C75" s="12"/>
      <c r="D75" s="12"/>
      <c r="E75" s="12"/>
      <c r="F75" s="12"/>
      <c r="G75" s="12"/>
      <c r="H75" s="12"/>
      <c r="I75" s="12"/>
      <c r="J75" s="12"/>
      <c r="K75" s="12"/>
      <c r="L75" s="12"/>
      <c r="M75" s="12"/>
      <c r="N75" s="12"/>
    </row>
    <row r="76" customFormat="false" ht="15" hidden="false" customHeight="true" outlineLevel="0" collapsed="false">
      <c r="A76" s="12"/>
      <c r="B76" s="12"/>
      <c r="C76" s="12"/>
      <c r="D76" s="12"/>
      <c r="E76" s="12"/>
      <c r="F76" s="12"/>
      <c r="G76" s="12"/>
      <c r="H76" s="12"/>
      <c r="I76" s="12"/>
      <c r="J76" s="12"/>
      <c r="K76" s="12"/>
      <c r="L76" s="12"/>
      <c r="M76" s="12"/>
      <c r="N76" s="12"/>
    </row>
    <row r="77" customFormat="false" ht="15" hidden="false" customHeight="true" outlineLevel="0" collapsed="false">
      <c r="A77" s="12"/>
      <c r="B77" s="12"/>
      <c r="C77" s="12"/>
      <c r="D77" s="12"/>
      <c r="E77" s="12"/>
      <c r="F77" s="12"/>
      <c r="G77" s="12"/>
      <c r="H77" s="12"/>
      <c r="I77" s="12"/>
      <c r="J77" s="12"/>
      <c r="K77" s="12"/>
      <c r="L77" s="12"/>
      <c r="M77" s="12"/>
      <c r="N77" s="12"/>
    </row>
    <row r="78" customFormat="false" ht="15" hidden="false" customHeight="true" outlineLevel="0" collapsed="false">
      <c r="A78" s="12"/>
      <c r="B78" s="12"/>
      <c r="C78" s="12"/>
      <c r="D78" s="12"/>
      <c r="E78" s="12"/>
      <c r="F78" s="12"/>
      <c r="G78" s="12"/>
      <c r="H78" s="12"/>
      <c r="I78" s="12"/>
      <c r="J78" s="12"/>
      <c r="K78" s="12"/>
      <c r="L78" s="12"/>
      <c r="M78" s="12"/>
      <c r="N78" s="12"/>
    </row>
    <row r="79" customFormat="false" ht="15" hidden="false" customHeight="true" outlineLevel="0" collapsed="false">
      <c r="A79" s="12"/>
      <c r="B79" s="12"/>
      <c r="C79" s="12"/>
      <c r="D79" s="12"/>
      <c r="E79" s="12"/>
      <c r="F79" s="12"/>
      <c r="G79" s="12"/>
      <c r="H79" s="12"/>
      <c r="I79" s="12"/>
      <c r="J79" s="12"/>
      <c r="K79" s="12"/>
      <c r="L79" s="12"/>
      <c r="M79" s="12"/>
      <c r="N79" s="12"/>
    </row>
    <row r="80" customFormat="false" ht="15" hidden="false" customHeight="true" outlineLevel="0" collapsed="false">
      <c r="A80" s="12"/>
      <c r="B80" s="12"/>
      <c r="C80" s="12"/>
      <c r="D80" s="12"/>
      <c r="E80" s="12"/>
      <c r="F80" s="12"/>
      <c r="G80" s="12"/>
      <c r="H80" s="12"/>
      <c r="I80" s="12"/>
      <c r="J80" s="12"/>
      <c r="K80" s="12"/>
      <c r="L80" s="12"/>
      <c r="M80" s="12"/>
      <c r="N80" s="12"/>
    </row>
    <row r="81" customFormat="false" ht="15" hidden="false" customHeight="true" outlineLevel="0" collapsed="false">
      <c r="A81" s="12"/>
      <c r="B81" s="12"/>
      <c r="C81" s="12"/>
      <c r="D81" s="12"/>
      <c r="E81" s="12"/>
      <c r="F81" s="12"/>
      <c r="G81" s="12"/>
      <c r="H81" s="12"/>
      <c r="I81" s="12"/>
      <c r="J81" s="12"/>
      <c r="K81" s="12"/>
      <c r="L81" s="12"/>
      <c r="M81" s="12"/>
      <c r="N81" s="12"/>
    </row>
    <row r="82" customFormat="false" ht="15" hidden="false" customHeight="true" outlineLevel="0" collapsed="false">
      <c r="A82" s="12"/>
      <c r="B82" s="12"/>
      <c r="C82" s="12"/>
      <c r="D82" s="12"/>
      <c r="E82" s="12"/>
      <c r="F82" s="12"/>
      <c r="G82" s="12"/>
      <c r="H82" s="12"/>
      <c r="I82" s="12"/>
      <c r="J82" s="12"/>
      <c r="K82" s="12"/>
      <c r="L82" s="12"/>
      <c r="M82" s="12"/>
      <c r="N82" s="12"/>
    </row>
    <row r="83" customFormat="false" ht="15" hidden="false" customHeight="true" outlineLevel="0" collapsed="false">
      <c r="A83" s="12"/>
      <c r="B83" s="12"/>
      <c r="C83" s="12"/>
      <c r="D83" s="12"/>
      <c r="E83" s="12"/>
      <c r="F83" s="12"/>
      <c r="G83" s="12"/>
      <c r="H83" s="12"/>
      <c r="I83" s="12"/>
      <c r="J83" s="12"/>
      <c r="K83" s="12"/>
      <c r="L83" s="12"/>
      <c r="M83" s="12"/>
      <c r="N83" s="12"/>
    </row>
    <row r="84" customFormat="false" ht="15" hidden="false" customHeight="true" outlineLevel="0" collapsed="false">
      <c r="A84" s="12"/>
      <c r="B84" s="12"/>
      <c r="C84" s="12"/>
      <c r="D84" s="12"/>
      <c r="E84" s="12"/>
      <c r="F84" s="12"/>
      <c r="G84" s="12"/>
      <c r="H84" s="12"/>
      <c r="I84" s="12"/>
      <c r="J84" s="12"/>
      <c r="K84" s="12"/>
      <c r="L84" s="12"/>
      <c r="M84" s="12"/>
      <c r="N84" s="12"/>
    </row>
    <row r="85" customFormat="false" ht="15" hidden="false" customHeight="true" outlineLevel="0" collapsed="false">
      <c r="A85" s="12"/>
      <c r="B85" s="12"/>
      <c r="C85" s="12"/>
      <c r="D85" s="12"/>
      <c r="E85" s="12"/>
      <c r="F85" s="12"/>
      <c r="G85" s="12"/>
      <c r="H85" s="12"/>
      <c r="I85" s="12"/>
      <c r="J85" s="12"/>
      <c r="K85" s="12"/>
      <c r="L85" s="12"/>
      <c r="M85" s="12"/>
      <c r="N85" s="12"/>
    </row>
    <row r="86" customFormat="false" ht="15" hidden="false" customHeight="true" outlineLevel="0" collapsed="false">
      <c r="A86" s="12"/>
      <c r="B86" s="12"/>
      <c r="C86" s="12"/>
      <c r="D86" s="12"/>
      <c r="E86" s="12"/>
      <c r="F86" s="12"/>
      <c r="G86" s="12"/>
      <c r="H86" s="12"/>
      <c r="I86" s="12"/>
      <c r="J86" s="12"/>
      <c r="K86" s="12"/>
      <c r="L86" s="12"/>
      <c r="M86" s="12"/>
      <c r="N86" s="12"/>
    </row>
    <row r="87" customFormat="false" ht="15" hidden="false" customHeight="true" outlineLevel="0" collapsed="false">
      <c r="A87" s="12"/>
      <c r="B87" s="12"/>
      <c r="C87" s="12"/>
      <c r="D87" s="12"/>
      <c r="E87" s="12"/>
      <c r="F87" s="12"/>
      <c r="G87" s="12"/>
      <c r="H87" s="12"/>
      <c r="I87" s="12"/>
      <c r="J87" s="12"/>
      <c r="K87" s="12"/>
      <c r="L87" s="12"/>
      <c r="M87" s="12"/>
      <c r="N87" s="12"/>
    </row>
    <row r="88" customFormat="false" ht="15" hidden="false" customHeight="true" outlineLevel="0" collapsed="false">
      <c r="A88" s="12"/>
      <c r="B88" s="12"/>
      <c r="C88" s="12"/>
      <c r="D88" s="12"/>
      <c r="E88" s="12"/>
      <c r="F88" s="12"/>
      <c r="G88" s="12"/>
      <c r="H88" s="12"/>
      <c r="I88" s="12"/>
      <c r="J88" s="12"/>
      <c r="K88" s="12"/>
      <c r="L88" s="12"/>
      <c r="M88" s="12"/>
      <c r="N88" s="12"/>
    </row>
    <row r="89" customFormat="false" ht="15" hidden="false" customHeight="true" outlineLevel="0" collapsed="false">
      <c r="A89" s="12"/>
      <c r="B89" s="12"/>
      <c r="C89" s="12"/>
      <c r="D89" s="12"/>
      <c r="E89" s="12"/>
      <c r="F89" s="12"/>
      <c r="G89" s="12"/>
      <c r="H89" s="12"/>
      <c r="I89" s="12"/>
      <c r="J89" s="12"/>
      <c r="K89" s="12"/>
      <c r="L89" s="12"/>
      <c r="M89" s="12"/>
      <c r="N89" s="12"/>
    </row>
    <row r="90" customFormat="false" ht="15" hidden="false" customHeight="true" outlineLevel="0" collapsed="false">
      <c r="A90" s="12"/>
      <c r="B90" s="12"/>
      <c r="C90" s="12"/>
      <c r="D90" s="12"/>
      <c r="E90" s="12"/>
      <c r="F90" s="12"/>
      <c r="G90" s="12"/>
      <c r="H90" s="12"/>
      <c r="I90" s="12"/>
      <c r="J90" s="12"/>
      <c r="K90" s="12"/>
      <c r="L90" s="12"/>
      <c r="M90" s="12"/>
      <c r="N90" s="12"/>
    </row>
    <row r="91" customFormat="false" ht="15" hidden="false" customHeight="true" outlineLevel="0" collapsed="false">
      <c r="A91" s="12"/>
      <c r="B91" s="12"/>
      <c r="C91" s="12"/>
      <c r="D91" s="12"/>
      <c r="E91" s="12"/>
      <c r="F91" s="12"/>
      <c r="G91" s="12"/>
      <c r="H91" s="12"/>
      <c r="I91" s="12"/>
      <c r="J91" s="12"/>
      <c r="K91" s="12"/>
      <c r="L91" s="12"/>
      <c r="M91" s="12"/>
      <c r="N91" s="12"/>
    </row>
    <row r="92" customFormat="false" ht="15" hidden="false" customHeight="true" outlineLevel="0" collapsed="false">
      <c r="A92" s="12"/>
      <c r="B92" s="12"/>
      <c r="C92" s="12"/>
      <c r="D92" s="12"/>
      <c r="E92" s="12"/>
      <c r="F92" s="12"/>
      <c r="G92" s="12"/>
      <c r="H92" s="12"/>
      <c r="I92" s="12"/>
      <c r="J92" s="12"/>
      <c r="K92" s="12"/>
      <c r="L92" s="12"/>
      <c r="M92" s="12"/>
      <c r="N92" s="12"/>
    </row>
    <row r="93" customFormat="false" ht="15" hidden="false" customHeight="true" outlineLevel="0" collapsed="false">
      <c r="A93" s="12"/>
      <c r="B93" s="12"/>
      <c r="C93" s="12"/>
      <c r="D93" s="12"/>
      <c r="E93" s="12"/>
      <c r="F93" s="12"/>
      <c r="G93" s="12"/>
      <c r="H93" s="12"/>
      <c r="I93" s="12"/>
      <c r="J93" s="12"/>
      <c r="K93" s="12"/>
      <c r="L93" s="12"/>
      <c r="M93" s="12"/>
      <c r="N93" s="12"/>
    </row>
    <row r="94" customFormat="false" ht="15" hidden="false" customHeight="true" outlineLevel="0" collapsed="false">
      <c r="A94" s="12"/>
      <c r="B94" s="12"/>
      <c r="C94" s="12"/>
      <c r="D94" s="12"/>
      <c r="E94" s="12"/>
      <c r="F94" s="12"/>
      <c r="G94" s="12"/>
      <c r="H94" s="12"/>
      <c r="I94" s="12"/>
      <c r="J94" s="12"/>
      <c r="K94" s="12"/>
      <c r="L94" s="12"/>
      <c r="M94" s="12"/>
      <c r="N94" s="12"/>
    </row>
    <row r="95" customFormat="false" ht="15" hidden="false" customHeight="true" outlineLevel="0" collapsed="false">
      <c r="A95" s="12"/>
      <c r="B95" s="12"/>
      <c r="C95" s="12"/>
      <c r="D95" s="12"/>
      <c r="E95" s="12"/>
      <c r="F95" s="12"/>
      <c r="G95" s="12"/>
      <c r="H95" s="12"/>
      <c r="I95" s="12"/>
      <c r="J95" s="12"/>
      <c r="K95" s="12"/>
      <c r="L95" s="12"/>
      <c r="M95" s="12"/>
      <c r="N95" s="12"/>
    </row>
    <row r="96" customFormat="false" ht="15" hidden="false" customHeight="true" outlineLevel="0" collapsed="false">
      <c r="A96" s="12"/>
      <c r="B96" s="12"/>
      <c r="C96" s="12"/>
      <c r="D96" s="12"/>
      <c r="E96" s="12"/>
      <c r="F96" s="12"/>
      <c r="G96" s="12"/>
      <c r="H96" s="12"/>
      <c r="I96" s="12"/>
      <c r="J96" s="12"/>
      <c r="K96" s="12"/>
      <c r="L96" s="12"/>
      <c r="M96" s="12"/>
      <c r="N96" s="12"/>
    </row>
    <row r="97" customFormat="false" ht="15" hidden="false" customHeight="true" outlineLevel="0" collapsed="false">
      <c r="A97" s="12"/>
      <c r="B97" s="12"/>
      <c r="C97" s="12"/>
      <c r="D97" s="12"/>
      <c r="E97" s="12"/>
      <c r="F97" s="12"/>
      <c r="G97" s="12"/>
      <c r="H97" s="12"/>
      <c r="I97" s="12"/>
      <c r="J97" s="12"/>
      <c r="K97" s="12"/>
      <c r="L97" s="12"/>
      <c r="M97" s="12"/>
      <c r="N97" s="12"/>
    </row>
    <row r="98" customFormat="false" ht="15" hidden="false" customHeight="true" outlineLevel="0" collapsed="false">
      <c r="A98" s="12"/>
      <c r="B98" s="12"/>
      <c r="C98" s="12"/>
      <c r="D98" s="12"/>
      <c r="E98" s="12"/>
      <c r="F98" s="12"/>
      <c r="G98" s="12"/>
      <c r="H98" s="12"/>
      <c r="I98" s="12"/>
      <c r="J98" s="12"/>
      <c r="K98" s="12"/>
      <c r="L98" s="12"/>
      <c r="M98" s="12"/>
      <c r="N98" s="12"/>
    </row>
    <row r="99" customFormat="false" ht="15" hidden="false" customHeight="true" outlineLevel="0" collapsed="false">
      <c r="A99" s="12"/>
      <c r="B99" s="12"/>
      <c r="C99" s="12"/>
      <c r="D99" s="12"/>
      <c r="E99" s="12"/>
      <c r="F99" s="12"/>
      <c r="G99" s="12"/>
      <c r="H99" s="12"/>
      <c r="I99" s="12"/>
      <c r="J99" s="12"/>
      <c r="K99" s="12"/>
      <c r="L99" s="12"/>
      <c r="M99" s="12"/>
      <c r="N99" s="12"/>
    </row>
    <row r="100" customFormat="false" ht="15" hidden="false" customHeight="true" outlineLevel="0" collapsed="false">
      <c r="A100" s="12"/>
      <c r="B100" s="12"/>
      <c r="C100" s="12"/>
      <c r="D100" s="12"/>
      <c r="E100" s="12"/>
      <c r="F100" s="12"/>
      <c r="G100" s="12"/>
      <c r="H100" s="12"/>
      <c r="I100" s="12"/>
      <c r="J100" s="12"/>
      <c r="K100" s="12"/>
      <c r="L100" s="12"/>
      <c r="M100" s="12"/>
      <c r="N100" s="12"/>
    </row>
    <row r="101" customFormat="false" ht="15" hidden="false" customHeight="true" outlineLevel="0" collapsed="false">
      <c r="A101" s="12"/>
      <c r="B101" s="12"/>
      <c r="C101" s="12"/>
      <c r="D101" s="12"/>
      <c r="E101" s="12"/>
      <c r="F101" s="12"/>
      <c r="G101" s="12"/>
      <c r="H101" s="12"/>
      <c r="I101" s="12"/>
      <c r="J101" s="12"/>
      <c r="K101" s="12"/>
      <c r="L101" s="12"/>
      <c r="M101" s="12"/>
      <c r="N101" s="12"/>
    </row>
    <row r="102" customFormat="false" ht="15" hidden="false" customHeight="true" outlineLevel="0" collapsed="false">
      <c r="A102" s="12"/>
      <c r="B102" s="12"/>
      <c r="C102" s="12"/>
      <c r="D102" s="12"/>
      <c r="E102" s="12"/>
      <c r="F102" s="12"/>
      <c r="G102" s="12"/>
      <c r="H102" s="12"/>
      <c r="I102" s="12"/>
      <c r="J102" s="12"/>
      <c r="K102" s="12"/>
      <c r="L102" s="12"/>
      <c r="M102" s="12"/>
      <c r="N102" s="12"/>
    </row>
    <row r="103" customFormat="false" ht="15" hidden="false" customHeight="true" outlineLevel="0" collapsed="false">
      <c r="A103" s="12"/>
      <c r="B103" s="12"/>
      <c r="C103" s="12"/>
      <c r="D103" s="12"/>
      <c r="E103" s="12"/>
      <c r="F103" s="12"/>
      <c r="G103" s="12"/>
      <c r="H103" s="12"/>
      <c r="I103" s="12"/>
      <c r="J103" s="12"/>
      <c r="K103" s="12"/>
      <c r="L103" s="12"/>
      <c r="M103" s="12"/>
      <c r="N103" s="12"/>
    </row>
    <row r="104" customFormat="false" ht="15" hidden="false" customHeight="true" outlineLevel="0" collapsed="false">
      <c r="A104" s="12"/>
      <c r="B104" s="12"/>
      <c r="C104" s="12"/>
      <c r="D104" s="12"/>
      <c r="E104" s="12"/>
      <c r="F104" s="12"/>
      <c r="G104" s="12"/>
      <c r="H104" s="12"/>
      <c r="I104" s="12"/>
      <c r="J104" s="12"/>
      <c r="K104" s="12"/>
      <c r="L104" s="12"/>
      <c r="M104" s="12"/>
      <c r="N104" s="12"/>
    </row>
    <row r="105" customFormat="false" ht="15" hidden="false" customHeight="true" outlineLevel="0" collapsed="false">
      <c r="A105" s="12"/>
      <c r="B105" s="12"/>
      <c r="C105" s="12"/>
      <c r="D105" s="12"/>
      <c r="E105" s="12"/>
      <c r="F105" s="12"/>
      <c r="G105" s="12"/>
      <c r="H105" s="12"/>
      <c r="I105" s="12"/>
      <c r="J105" s="12"/>
      <c r="K105" s="12"/>
      <c r="L105" s="12"/>
      <c r="M105" s="12"/>
      <c r="N105" s="12"/>
    </row>
    <row r="106" customFormat="false" ht="15" hidden="false" customHeight="true" outlineLevel="0" collapsed="false">
      <c r="A106" s="12"/>
      <c r="B106" s="12"/>
      <c r="C106" s="12"/>
      <c r="D106" s="12"/>
      <c r="E106" s="12"/>
      <c r="F106" s="12"/>
      <c r="G106" s="12"/>
      <c r="H106" s="12"/>
      <c r="I106" s="12"/>
      <c r="J106" s="12"/>
      <c r="K106" s="12"/>
      <c r="L106" s="12"/>
      <c r="M106" s="12"/>
      <c r="N106" s="12"/>
    </row>
    <row r="107" customFormat="false" ht="15" hidden="false" customHeight="true" outlineLevel="0" collapsed="false">
      <c r="A107" s="12"/>
      <c r="B107" s="12"/>
      <c r="C107" s="12"/>
      <c r="D107" s="12"/>
      <c r="E107" s="12"/>
      <c r="F107" s="12"/>
      <c r="G107" s="12"/>
      <c r="H107" s="12"/>
      <c r="I107" s="12"/>
      <c r="J107" s="12"/>
      <c r="K107" s="12"/>
      <c r="L107" s="12"/>
      <c r="M107" s="12"/>
      <c r="N107" s="12"/>
    </row>
    <row r="108" customFormat="false" ht="15" hidden="false" customHeight="true" outlineLevel="0" collapsed="false">
      <c r="A108" s="12"/>
      <c r="B108" s="12"/>
      <c r="C108" s="12"/>
      <c r="D108" s="12"/>
      <c r="E108" s="12"/>
      <c r="F108" s="12"/>
      <c r="G108" s="12"/>
      <c r="H108" s="12"/>
      <c r="I108" s="12"/>
      <c r="J108" s="12"/>
      <c r="K108" s="12"/>
      <c r="L108" s="12"/>
      <c r="M108" s="12"/>
      <c r="N108" s="12"/>
    </row>
    <row r="109" customFormat="false" ht="15" hidden="false" customHeight="true" outlineLevel="0" collapsed="false">
      <c r="A109" s="12"/>
      <c r="B109" s="12"/>
      <c r="C109" s="12"/>
      <c r="D109" s="12"/>
      <c r="E109" s="12"/>
      <c r="F109" s="12"/>
      <c r="G109" s="12"/>
      <c r="H109" s="12"/>
      <c r="I109" s="12"/>
      <c r="J109" s="12"/>
      <c r="K109" s="12"/>
      <c r="L109" s="12"/>
      <c r="M109" s="12"/>
      <c r="N109" s="12"/>
    </row>
    <row r="110" customFormat="false" ht="15" hidden="false" customHeight="true" outlineLevel="0" collapsed="false">
      <c r="A110" s="12"/>
      <c r="B110" s="12"/>
      <c r="C110" s="12"/>
      <c r="D110" s="12"/>
      <c r="E110" s="12"/>
      <c r="F110" s="12"/>
      <c r="G110" s="12"/>
      <c r="H110" s="12"/>
      <c r="I110" s="12"/>
      <c r="J110" s="12"/>
      <c r="K110" s="12"/>
      <c r="L110" s="12"/>
      <c r="M110" s="12"/>
      <c r="N110" s="12"/>
    </row>
    <row r="111" customFormat="false" ht="15" hidden="false" customHeight="true" outlineLevel="0" collapsed="false">
      <c r="A111" s="12"/>
      <c r="B111" s="12"/>
      <c r="C111" s="12"/>
      <c r="D111" s="12"/>
      <c r="E111" s="12"/>
      <c r="F111" s="12"/>
      <c r="G111" s="12"/>
      <c r="H111" s="12"/>
      <c r="I111" s="12"/>
      <c r="J111" s="12"/>
      <c r="K111" s="12"/>
      <c r="L111" s="12"/>
      <c r="M111" s="12"/>
      <c r="N111" s="12"/>
    </row>
    <row r="112" customFormat="false" ht="15" hidden="false" customHeight="true" outlineLevel="0" collapsed="false">
      <c r="A112" s="12"/>
      <c r="B112" s="12"/>
      <c r="C112" s="12"/>
      <c r="D112" s="12"/>
      <c r="E112" s="12"/>
      <c r="F112" s="12"/>
      <c r="G112" s="12"/>
      <c r="H112" s="12"/>
      <c r="I112" s="12"/>
      <c r="J112" s="12"/>
      <c r="K112" s="12"/>
      <c r="L112" s="12"/>
      <c r="M112" s="12"/>
      <c r="N112" s="12"/>
    </row>
    <row r="113" customFormat="false" ht="15" hidden="false" customHeight="true" outlineLevel="0" collapsed="false">
      <c r="A113" s="12"/>
      <c r="B113" s="12"/>
      <c r="C113" s="12"/>
      <c r="D113" s="12"/>
      <c r="E113" s="12"/>
      <c r="F113" s="12"/>
      <c r="G113" s="12"/>
      <c r="H113" s="12"/>
      <c r="I113" s="12"/>
      <c r="J113" s="12"/>
      <c r="K113" s="12"/>
      <c r="L113" s="12"/>
      <c r="M113" s="12"/>
      <c r="N113" s="12"/>
    </row>
    <row r="114" customFormat="false" ht="15" hidden="false" customHeight="true" outlineLevel="0" collapsed="false">
      <c r="A114" s="12"/>
      <c r="B114" s="12"/>
      <c r="C114" s="12"/>
      <c r="D114" s="12"/>
      <c r="E114" s="12"/>
      <c r="F114" s="12"/>
      <c r="G114" s="12"/>
      <c r="H114" s="12"/>
      <c r="I114" s="12"/>
      <c r="J114" s="12"/>
      <c r="K114" s="12"/>
      <c r="L114" s="12"/>
      <c r="M114" s="12"/>
      <c r="N114" s="12"/>
    </row>
    <row r="115" customFormat="false" ht="15" hidden="false" customHeight="true" outlineLevel="0" collapsed="false">
      <c r="A115" s="12"/>
      <c r="B115" s="12"/>
      <c r="C115" s="12"/>
      <c r="D115" s="12"/>
      <c r="E115" s="12"/>
      <c r="F115" s="12"/>
      <c r="G115" s="12"/>
      <c r="H115" s="12"/>
      <c r="I115" s="12"/>
      <c r="J115" s="12"/>
      <c r="K115" s="12"/>
      <c r="L115" s="12"/>
      <c r="M115" s="12"/>
      <c r="N115" s="12"/>
    </row>
    <row r="116" customFormat="false" ht="15" hidden="false" customHeight="true" outlineLevel="0" collapsed="false">
      <c r="A116" s="12"/>
      <c r="B116" s="12"/>
      <c r="C116" s="12"/>
      <c r="D116" s="12"/>
      <c r="E116" s="12"/>
      <c r="F116" s="12"/>
      <c r="G116" s="12"/>
      <c r="H116" s="12"/>
      <c r="I116" s="12"/>
      <c r="J116" s="12"/>
      <c r="K116" s="12"/>
      <c r="L116" s="12"/>
      <c r="M116" s="12"/>
      <c r="N116" s="12"/>
    </row>
    <row r="117" customFormat="false" ht="15" hidden="false" customHeight="true" outlineLevel="0" collapsed="false">
      <c r="A117" s="12"/>
      <c r="B117" s="12"/>
      <c r="C117" s="12"/>
      <c r="D117" s="12"/>
      <c r="E117" s="12"/>
      <c r="F117" s="12"/>
      <c r="G117" s="12"/>
      <c r="H117" s="12"/>
      <c r="I117" s="12"/>
      <c r="J117" s="12"/>
      <c r="K117" s="12"/>
      <c r="L117" s="12"/>
      <c r="M117" s="12"/>
      <c r="N117" s="12"/>
    </row>
    <row r="118" customFormat="false" ht="15" hidden="false" customHeight="true" outlineLevel="0" collapsed="false">
      <c r="A118" s="12"/>
      <c r="B118" s="12"/>
      <c r="C118" s="12"/>
      <c r="D118" s="12"/>
      <c r="E118" s="12"/>
      <c r="F118" s="12"/>
      <c r="G118" s="12"/>
      <c r="H118" s="12"/>
      <c r="I118" s="12"/>
      <c r="J118" s="12"/>
      <c r="K118" s="12"/>
      <c r="L118" s="12"/>
      <c r="M118" s="12"/>
      <c r="N118" s="12"/>
    </row>
    <row r="119" customFormat="false" ht="15" hidden="false" customHeight="true" outlineLevel="0" collapsed="false">
      <c r="A119" s="12"/>
      <c r="B119" s="12"/>
      <c r="C119" s="12"/>
      <c r="D119" s="12"/>
      <c r="E119" s="12"/>
      <c r="F119" s="12"/>
      <c r="G119" s="12"/>
      <c r="H119" s="12"/>
      <c r="I119" s="12"/>
      <c r="J119" s="12"/>
      <c r="K119" s="12"/>
      <c r="L119" s="12"/>
      <c r="M119" s="12"/>
      <c r="N119" s="12"/>
    </row>
    <row r="120" customFormat="false" ht="15" hidden="false" customHeight="true" outlineLevel="0" collapsed="false">
      <c r="A120" s="12"/>
      <c r="B120" s="12"/>
      <c r="C120" s="12"/>
      <c r="D120" s="12"/>
      <c r="E120" s="12"/>
      <c r="F120" s="12"/>
      <c r="G120" s="12"/>
      <c r="H120" s="12"/>
      <c r="I120" s="12"/>
      <c r="J120" s="12"/>
      <c r="K120" s="12"/>
      <c r="L120" s="12"/>
      <c r="M120" s="12"/>
      <c r="N120" s="12"/>
    </row>
    <row r="121" customFormat="false" ht="15" hidden="false" customHeight="true" outlineLevel="0" collapsed="false">
      <c r="A121" s="12"/>
      <c r="B121" s="12"/>
      <c r="C121" s="12"/>
      <c r="D121" s="12"/>
      <c r="E121" s="12"/>
      <c r="F121" s="12"/>
      <c r="G121" s="12"/>
      <c r="H121" s="12"/>
      <c r="I121" s="12"/>
      <c r="J121" s="12"/>
      <c r="K121" s="12"/>
      <c r="L121" s="12"/>
      <c r="M121" s="12"/>
      <c r="N121" s="12"/>
    </row>
    <row r="122" customFormat="false" ht="15" hidden="false" customHeight="true" outlineLevel="0" collapsed="false">
      <c r="A122" s="12"/>
      <c r="B122" s="12"/>
      <c r="C122" s="12"/>
      <c r="D122" s="12"/>
      <c r="E122" s="12"/>
      <c r="F122" s="12"/>
      <c r="G122" s="12"/>
      <c r="H122" s="12"/>
      <c r="I122" s="12"/>
      <c r="J122" s="12"/>
      <c r="K122" s="12"/>
      <c r="L122" s="12"/>
      <c r="M122" s="12"/>
      <c r="N122" s="12"/>
    </row>
    <row r="123" customFormat="false" ht="15" hidden="false" customHeight="true" outlineLevel="0" collapsed="false">
      <c r="A123" s="12"/>
      <c r="B123" s="12"/>
      <c r="C123" s="12"/>
      <c r="D123" s="12"/>
      <c r="E123" s="12"/>
      <c r="F123" s="12"/>
      <c r="G123" s="12"/>
      <c r="H123" s="12"/>
      <c r="I123" s="12"/>
      <c r="J123" s="12"/>
      <c r="K123" s="12"/>
      <c r="L123" s="12"/>
      <c r="M123" s="12"/>
      <c r="N123" s="12"/>
    </row>
    <row r="124" customFormat="false" ht="15" hidden="false" customHeight="true" outlineLevel="0" collapsed="false">
      <c r="A124" s="12"/>
      <c r="B124" s="12"/>
      <c r="C124" s="12"/>
      <c r="D124" s="12"/>
      <c r="E124" s="12"/>
      <c r="F124" s="12"/>
      <c r="G124" s="12"/>
      <c r="H124" s="12"/>
      <c r="I124" s="12"/>
      <c r="J124" s="12"/>
      <c r="K124" s="12"/>
      <c r="L124" s="12"/>
      <c r="M124" s="12"/>
      <c r="N124" s="12"/>
    </row>
    <row r="125" customFormat="false" ht="15" hidden="false" customHeight="true" outlineLevel="0" collapsed="false">
      <c r="A125" s="12"/>
      <c r="B125" s="12"/>
      <c r="C125" s="12"/>
      <c r="D125" s="12"/>
      <c r="E125" s="12"/>
      <c r="F125" s="12"/>
      <c r="G125" s="12"/>
      <c r="H125" s="12"/>
      <c r="I125" s="12"/>
      <c r="J125" s="12"/>
      <c r="K125" s="12"/>
      <c r="L125" s="12"/>
      <c r="M125" s="12"/>
      <c r="N125" s="12"/>
    </row>
    <row r="126" customFormat="false" ht="15" hidden="false" customHeight="true" outlineLevel="0" collapsed="false">
      <c r="A126" s="12"/>
      <c r="B126" s="12"/>
      <c r="C126" s="12"/>
      <c r="D126" s="12"/>
      <c r="E126" s="12"/>
      <c r="F126" s="12"/>
      <c r="G126" s="12"/>
      <c r="H126" s="12"/>
      <c r="I126" s="12"/>
      <c r="J126" s="12"/>
      <c r="K126" s="12"/>
      <c r="L126" s="12"/>
      <c r="M126" s="12"/>
      <c r="N126" s="12"/>
    </row>
    <row r="127" customFormat="false" ht="15" hidden="false" customHeight="true" outlineLevel="0" collapsed="false">
      <c r="A127" s="12"/>
      <c r="B127" s="12"/>
      <c r="C127" s="12"/>
      <c r="D127" s="12"/>
      <c r="E127" s="12"/>
      <c r="F127" s="12"/>
      <c r="G127" s="12"/>
      <c r="H127" s="12"/>
      <c r="I127" s="12"/>
      <c r="J127" s="12"/>
      <c r="K127" s="12"/>
      <c r="L127" s="12"/>
      <c r="M127" s="12"/>
      <c r="N127" s="12"/>
    </row>
    <row r="128" customFormat="false" ht="15" hidden="false" customHeight="true" outlineLevel="0" collapsed="false">
      <c r="A128" s="12"/>
      <c r="B128" s="12"/>
      <c r="C128" s="12"/>
      <c r="D128" s="12"/>
      <c r="E128" s="12"/>
      <c r="F128" s="12"/>
      <c r="G128" s="12"/>
      <c r="H128" s="12"/>
      <c r="I128" s="12"/>
      <c r="J128" s="12"/>
      <c r="K128" s="12"/>
      <c r="L128" s="12"/>
      <c r="M128" s="12"/>
      <c r="N128" s="12"/>
    </row>
    <row r="129" customFormat="false" ht="15" hidden="false" customHeight="true" outlineLevel="0" collapsed="false">
      <c r="A129" s="12"/>
      <c r="B129" s="12"/>
      <c r="C129" s="12"/>
      <c r="D129" s="12"/>
      <c r="E129" s="12"/>
      <c r="F129" s="12"/>
      <c r="G129" s="12"/>
      <c r="H129" s="12"/>
      <c r="I129" s="12"/>
      <c r="J129" s="12"/>
      <c r="K129" s="12"/>
      <c r="L129" s="12"/>
      <c r="M129" s="12"/>
      <c r="N129" s="12"/>
    </row>
    <row r="130" customFormat="false" ht="15" hidden="false" customHeight="true" outlineLevel="0" collapsed="false">
      <c r="A130" s="12"/>
      <c r="B130" s="12"/>
      <c r="C130" s="12"/>
      <c r="D130" s="12"/>
      <c r="E130" s="12"/>
      <c r="F130" s="12"/>
      <c r="G130" s="12"/>
      <c r="H130" s="12"/>
      <c r="I130" s="12"/>
      <c r="J130" s="12"/>
      <c r="K130" s="12"/>
      <c r="L130" s="12"/>
      <c r="M130" s="12"/>
      <c r="N130" s="12"/>
    </row>
    <row r="131" customFormat="false" ht="15" hidden="false" customHeight="true" outlineLevel="0" collapsed="false">
      <c r="A131" s="12"/>
      <c r="B131" s="12"/>
      <c r="C131" s="12"/>
      <c r="D131" s="12"/>
      <c r="E131" s="12"/>
      <c r="F131" s="12"/>
      <c r="G131" s="12"/>
      <c r="H131" s="12"/>
      <c r="I131" s="12"/>
      <c r="J131" s="12"/>
      <c r="K131" s="12"/>
      <c r="L131" s="12"/>
      <c r="M131" s="12"/>
      <c r="N131" s="12"/>
    </row>
    <row r="132" customFormat="false" ht="15" hidden="false" customHeight="true" outlineLevel="0" collapsed="false">
      <c r="A132" s="12"/>
      <c r="B132" s="12"/>
      <c r="C132" s="12"/>
      <c r="D132" s="12"/>
      <c r="E132" s="12"/>
      <c r="F132" s="12"/>
      <c r="G132" s="12"/>
      <c r="H132" s="12"/>
      <c r="I132" s="12"/>
      <c r="J132" s="12"/>
      <c r="K132" s="12"/>
      <c r="L132" s="12"/>
      <c r="M132" s="12"/>
      <c r="N132" s="12"/>
    </row>
    <row r="133" customFormat="false" ht="15" hidden="false" customHeight="true" outlineLevel="0" collapsed="false">
      <c r="A133" s="12"/>
      <c r="B133" s="12"/>
      <c r="C133" s="12"/>
      <c r="D133" s="12"/>
      <c r="E133" s="12"/>
      <c r="F133" s="12"/>
      <c r="G133" s="12"/>
      <c r="H133" s="12"/>
      <c r="I133" s="12"/>
      <c r="J133" s="12"/>
      <c r="K133" s="12"/>
      <c r="L133" s="12"/>
      <c r="M133" s="12"/>
      <c r="N133" s="12"/>
    </row>
    <row r="134" customFormat="false" ht="15" hidden="false" customHeight="true" outlineLevel="0" collapsed="false">
      <c r="A134" s="12"/>
      <c r="B134" s="12"/>
      <c r="C134" s="12"/>
      <c r="D134" s="12"/>
      <c r="E134" s="12"/>
      <c r="F134" s="12"/>
      <c r="G134" s="12"/>
      <c r="H134" s="12"/>
      <c r="I134" s="12"/>
      <c r="J134" s="12"/>
      <c r="K134" s="12"/>
      <c r="L134" s="12"/>
      <c r="M134" s="12"/>
      <c r="N134" s="12"/>
    </row>
    <row r="135" customFormat="false" ht="15" hidden="false" customHeight="true" outlineLevel="0" collapsed="false">
      <c r="A135" s="12"/>
      <c r="B135" s="12"/>
      <c r="C135" s="12"/>
      <c r="D135" s="12"/>
      <c r="E135" s="12"/>
      <c r="F135" s="12"/>
      <c r="G135" s="12"/>
      <c r="H135" s="12"/>
      <c r="I135" s="12"/>
      <c r="J135" s="12"/>
      <c r="K135" s="12"/>
      <c r="L135" s="12"/>
      <c r="M135" s="12"/>
      <c r="N135" s="12"/>
    </row>
    <row r="136" customFormat="false" ht="15" hidden="false" customHeight="true" outlineLevel="0" collapsed="false">
      <c r="A136" s="12"/>
      <c r="B136" s="12"/>
      <c r="C136" s="12"/>
      <c r="D136" s="12"/>
      <c r="E136" s="12"/>
      <c r="F136" s="12"/>
      <c r="G136" s="12"/>
      <c r="H136" s="12"/>
      <c r="I136" s="12"/>
      <c r="J136" s="12"/>
      <c r="K136" s="12"/>
      <c r="L136" s="12"/>
      <c r="M136" s="12"/>
      <c r="N136" s="12"/>
    </row>
    <row r="137" customFormat="false" ht="15" hidden="false" customHeight="true" outlineLevel="0" collapsed="false">
      <c r="A137" s="12"/>
      <c r="B137" s="12"/>
      <c r="C137" s="12"/>
      <c r="D137" s="12"/>
      <c r="E137" s="12"/>
      <c r="F137" s="12"/>
      <c r="G137" s="12"/>
      <c r="H137" s="12"/>
      <c r="I137" s="12"/>
      <c r="J137" s="12"/>
      <c r="K137" s="12"/>
      <c r="L137" s="12"/>
      <c r="M137" s="12"/>
      <c r="N137" s="12"/>
    </row>
    <row r="138" customFormat="false" ht="15" hidden="false" customHeight="true" outlineLevel="0" collapsed="false">
      <c r="A138" s="12"/>
      <c r="B138" s="12"/>
      <c r="C138" s="12"/>
      <c r="D138" s="12"/>
      <c r="E138" s="12"/>
      <c r="F138" s="12"/>
      <c r="G138" s="12"/>
      <c r="H138" s="12"/>
      <c r="I138" s="12"/>
      <c r="J138" s="12"/>
      <c r="K138" s="12"/>
      <c r="L138" s="12"/>
      <c r="M138" s="12"/>
      <c r="N138" s="12"/>
    </row>
    <row r="139" customFormat="false" ht="15" hidden="false" customHeight="true" outlineLevel="0" collapsed="false">
      <c r="A139" s="12"/>
      <c r="B139" s="12"/>
      <c r="C139" s="12"/>
      <c r="D139" s="12"/>
      <c r="E139" s="12"/>
      <c r="F139" s="12"/>
      <c r="G139" s="12"/>
      <c r="H139" s="12"/>
      <c r="I139" s="12"/>
      <c r="J139" s="12"/>
      <c r="K139" s="12"/>
      <c r="L139" s="12"/>
      <c r="M139" s="12"/>
      <c r="N139" s="12"/>
    </row>
    <row r="140" customFormat="false" ht="15" hidden="false" customHeight="true" outlineLevel="0" collapsed="false">
      <c r="A140" s="12"/>
      <c r="B140" s="12"/>
      <c r="C140" s="12"/>
      <c r="D140" s="12"/>
      <c r="E140" s="12"/>
      <c r="F140" s="12"/>
      <c r="G140" s="12"/>
      <c r="H140" s="12"/>
      <c r="I140" s="12"/>
      <c r="J140" s="12"/>
      <c r="K140" s="12"/>
      <c r="L140" s="12"/>
      <c r="M140" s="12"/>
      <c r="N140" s="12"/>
    </row>
    <row r="141" customFormat="false" ht="15" hidden="false" customHeight="true" outlineLevel="0" collapsed="false">
      <c r="A141" s="12"/>
      <c r="B141" s="12"/>
      <c r="C141" s="12"/>
      <c r="D141" s="12"/>
      <c r="E141" s="12"/>
      <c r="F141" s="12"/>
      <c r="G141" s="12"/>
      <c r="H141" s="12"/>
      <c r="I141" s="12"/>
      <c r="J141" s="12"/>
      <c r="K141" s="12"/>
      <c r="L141" s="12"/>
      <c r="M141" s="12"/>
      <c r="N141" s="12"/>
    </row>
    <row r="142" customFormat="false" ht="15" hidden="false" customHeight="true" outlineLevel="0" collapsed="false">
      <c r="A142" s="12"/>
      <c r="B142" s="12"/>
      <c r="C142" s="12"/>
      <c r="D142" s="12"/>
      <c r="E142" s="12"/>
      <c r="F142" s="12"/>
      <c r="G142" s="12"/>
      <c r="H142" s="12"/>
      <c r="I142" s="12"/>
      <c r="J142" s="12"/>
      <c r="K142" s="12"/>
      <c r="L142" s="12"/>
      <c r="M142" s="12"/>
      <c r="N142" s="12"/>
    </row>
    <row r="143" customFormat="false" ht="15" hidden="false" customHeight="true" outlineLevel="0" collapsed="false">
      <c r="A143" s="12"/>
      <c r="B143" s="12"/>
      <c r="C143" s="12"/>
      <c r="D143" s="12"/>
      <c r="E143" s="12"/>
      <c r="F143" s="12"/>
      <c r="G143" s="12"/>
      <c r="H143" s="12"/>
      <c r="I143" s="12"/>
      <c r="J143" s="12"/>
      <c r="K143" s="12"/>
      <c r="L143" s="12"/>
      <c r="M143" s="12"/>
      <c r="N143" s="12"/>
    </row>
    <row r="144" customFormat="false" ht="15" hidden="false" customHeight="true" outlineLevel="0" collapsed="false">
      <c r="A144" s="12"/>
      <c r="B144" s="12"/>
      <c r="C144" s="12"/>
      <c r="D144" s="12"/>
      <c r="E144" s="12"/>
      <c r="F144" s="12"/>
      <c r="G144" s="12"/>
      <c r="H144" s="12"/>
      <c r="I144" s="12"/>
      <c r="J144" s="12"/>
      <c r="K144" s="12"/>
      <c r="L144" s="12"/>
      <c r="M144" s="12"/>
      <c r="N144" s="12"/>
    </row>
    <row r="145" customFormat="false" ht="15" hidden="false" customHeight="true" outlineLevel="0" collapsed="false">
      <c r="A145" s="12"/>
      <c r="B145" s="12"/>
      <c r="C145" s="12"/>
      <c r="D145" s="12"/>
      <c r="E145" s="12"/>
      <c r="F145" s="12"/>
      <c r="G145" s="12"/>
      <c r="H145" s="12"/>
      <c r="I145" s="12"/>
      <c r="J145" s="12"/>
      <c r="K145" s="12"/>
      <c r="L145" s="12"/>
      <c r="M145" s="12"/>
      <c r="N145" s="12"/>
    </row>
    <row r="146" customFormat="false" ht="15" hidden="false" customHeight="true" outlineLevel="0" collapsed="false">
      <c r="A146" s="12"/>
      <c r="B146" s="12"/>
      <c r="C146" s="12"/>
      <c r="D146" s="12"/>
      <c r="E146" s="12"/>
      <c r="F146" s="12"/>
      <c r="G146" s="12"/>
      <c r="H146" s="12"/>
      <c r="I146" s="12"/>
      <c r="J146" s="12"/>
      <c r="K146" s="12"/>
      <c r="L146" s="12"/>
      <c r="M146" s="12"/>
      <c r="N146" s="12"/>
    </row>
    <row r="147" customFormat="false" ht="15" hidden="false" customHeight="true" outlineLevel="0" collapsed="false">
      <c r="A147" s="12"/>
      <c r="B147" s="12"/>
      <c r="C147" s="12"/>
      <c r="D147" s="12"/>
      <c r="E147" s="12"/>
      <c r="F147" s="12"/>
      <c r="G147" s="12"/>
      <c r="H147" s="12"/>
      <c r="I147" s="12"/>
      <c r="J147" s="12"/>
      <c r="K147" s="12"/>
      <c r="L147" s="12"/>
      <c r="M147" s="12"/>
      <c r="N147" s="12"/>
    </row>
    <row r="148" customFormat="false" ht="15" hidden="false" customHeight="true" outlineLevel="0" collapsed="false">
      <c r="A148" s="12"/>
      <c r="B148" s="12"/>
      <c r="C148" s="12"/>
      <c r="D148" s="12"/>
      <c r="E148" s="12"/>
      <c r="F148" s="12"/>
      <c r="G148" s="12"/>
      <c r="H148" s="12"/>
      <c r="I148" s="12"/>
      <c r="J148" s="12"/>
      <c r="K148" s="12"/>
      <c r="L148" s="12"/>
      <c r="M148" s="12"/>
      <c r="N148" s="12"/>
    </row>
    <row r="149" customFormat="false" ht="15" hidden="false" customHeight="true" outlineLevel="0" collapsed="false">
      <c r="A149" s="12"/>
      <c r="B149" s="12"/>
      <c r="C149" s="12"/>
      <c r="D149" s="12"/>
      <c r="E149" s="12"/>
      <c r="F149" s="12"/>
      <c r="G149" s="12"/>
      <c r="H149" s="12"/>
      <c r="I149" s="12"/>
      <c r="J149" s="12"/>
      <c r="K149" s="12"/>
      <c r="L149" s="12"/>
      <c r="M149" s="12"/>
      <c r="N149" s="12"/>
    </row>
    <row r="150" customFormat="false" ht="15" hidden="false" customHeight="true" outlineLevel="0" collapsed="false">
      <c r="A150" s="12"/>
      <c r="B150" s="12"/>
      <c r="C150" s="12"/>
      <c r="D150" s="12"/>
      <c r="E150" s="12"/>
      <c r="F150" s="12"/>
      <c r="G150" s="12"/>
      <c r="H150" s="12"/>
      <c r="I150" s="12"/>
      <c r="J150" s="12"/>
      <c r="K150" s="12"/>
      <c r="L150" s="12"/>
      <c r="M150" s="12"/>
      <c r="N150" s="12"/>
    </row>
    <row r="151" customFormat="false" ht="15" hidden="false" customHeight="true" outlineLevel="0" collapsed="false">
      <c r="A151" s="12"/>
      <c r="B151" s="12"/>
      <c r="C151" s="12"/>
      <c r="D151" s="12"/>
      <c r="E151" s="12"/>
      <c r="F151" s="12"/>
      <c r="G151" s="12"/>
      <c r="H151" s="12"/>
      <c r="I151" s="12"/>
      <c r="J151" s="12"/>
      <c r="K151" s="12"/>
      <c r="L151" s="12"/>
      <c r="M151" s="12"/>
      <c r="N151" s="12"/>
    </row>
    <row r="152" customFormat="false" ht="15" hidden="false" customHeight="true" outlineLevel="0" collapsed="false">
      <c r="A152" s="12"/>
      <c r="B152" s="12"/>
      <c r="C152" s="12"/>
      <c r="D152" s="12"/>
      <c r="E152" s="12"/>
      <c r="F152" s="12"/>
      <c r="G152" s="12"/>
      <c r="H152" s="12"/>
      <c r="I152" s="12"/>
      <c r="J152" s="12"/>
      <c r="K152" s="12"/>
      <c r="L152" s="12"/>
      <c r="M152" s="12"/>
      <c r="N152" s="12"/>
    </row>
    <row r="153" customFormat="false" ht="15" hidden="false" customHeight="true" outlineLevel="0" collapsed="false">
      <c r="A153" s="12"/>
      <c r="B153" s="12"/>
      <c r="C153" s="12"/>
      <c r="D153" s="12"/>
      <c r="E153" s="12"/>
      <c r="F153" s="12"/>
      <c r="G153" s="12"/>
      <c r="H153" s="12"/>
      <c r="I153" s="12"/>
      <c r="J153" s="12"/>
      <c r="K153" s="12"/>
      <c r="L153" s="12"/>
      <c r="M153" s="12"/>
      <c r="N153" s="12"/>
    </row>
    <row r="154" customFormat="false" ht="15" hidden="false" customHeight="true" outlineLevel="0" collapsed="false">
      <c r="A154" s="12"/>
      <c r="B154" s="12"/>
      <c r="C154" s="12"/>
      <c r="D154" s="12"/>
      <c r="E154" s="12"/>
      <c r="F154" s="12"/>
      <c r="G154" s="12"/>
      <c r="H154" s="12"/>
      <c r="I154" s="12"/>
      <c r="J154" s="12"/>
      <c r="K154" s="12"/>
      <c r="L154" s="12"/>
      <c r="M154" s="12"/>
      <c r="N154" s="12"/>
    </row>
    <row r="155" customFormat="false" ht="15" hidden="false" customHeight="true" outlineLevel="0" collapsed="false">
      <c r="A155" s="12"/>
      <c r="B155" s="12"/>
      <c r="C155" s="12"/>
      <c r="D155" s="12"/>
      <c r="E155" s="12"/>
      <c r="F155" s="12"/>
      <c r="G155" s="12"/>
      <c r="H155" s="12"/>
      <c r="I155" s="12"/>
      <c r="J155" s="12"/>
      <c r="K155" s="12"/>
      <c r="L155" s="12"/>
      <c r="M155" s="12"/>
      <c r="N155" s="12"/>
    </row>
    <row r="156" customFormat="false" ht="15" hidden="false" customHeight="true" outlineLevel="0" collapsed="false">
      <c r="A156" s="12"/>
      <c r="B156" s="12"/>
      <c r="C156" s="12"/>
      <c r="D156" s="12"/>
      <c r="E156" s="12"/>
      <c r="F156" s="12"/>
      <c r="G156" s="12"/>
      <c r="H156" s="12"/>
      <c r="I156" s="12"/>
      <c r="J156" s="12"/>
      <c r="K156" s="12"/>
      <c r="L156" s="12"/>
      <c r="M156" s="12"/>
      <c r="N156" s="12"/>
    </row>
    <row r="157" customFormat="false" ht="15" hidden="false" customHeight="true" outlineLevel="0" collapsed="false">
      <c r="A157" s="12"/>
      <c r="B157" s="12"/>
      <c r="C157" s="12"/>
      <c r="D157" s="12"/>
      <c r="E157" s="12"/>
      <c r="F157" s="12"/>
      <c r="G157" s="12"/>
      <c r="H157" s="12"/>
      <c r="I157" s="12"/>
      <c r="J157" s="12"/>
      <c r="K157" s="12"/>
      <c r="L157" s="12"/>
      <c r="M157" s="12"/>
      <c r="N157" s="12"/>
    </row>
    <row r="158" customFormat="false" ht="15" hidden="false" customHeight="true" outlineLevel="0" collapsed="false">
      <c r="A158" s="12"/>
      <c r="B158" s="12"/>
      <c r="C158" s="12"/>
      <c r="D158" s="12"/>
      <c r="E158" s="12"/>
      <c r="F158" s="12"/>
      <c r="G158" s="12"/>
      <c r="H158" s="12"/>
      <c r="I158" s="12"/>
      <c r="J158" s="12"/>
      <c r="K158" s="12"/>
      <c r="L158" s="12"/>
      <c r="M158" s="12"/>
      <c r="N158" s="12"/>
    </row>
    <row r="159" customFormat="false" ht="15" hidden="false" customHeight="true" outlineLevel="0" collapsed="false">
      <c r="A159" s="12"/>
      <c r="B159" s="12"/>
      <c r="C159" s="12"/>
      <c r="D159" s="12"/>
      <c r="E159" s="12"/>
      <c r="F159" s="12"/>
      <c r="G159" s="12"/>
      <c r="H159" s="12"/>
      <c r="I159" s="12"/>
      <c r="J159" s="12"/>
      <c r="K159" s="12"/>
      <c r="L159" s="12"/>
      <c r="M159" s="12"/>
      <c r="N159" s="12"/>
    </row>
    <row r="160" customFormat="false" ht="15" hidden="false" customHeight="true" outlineLevel="0" collapsed="false">
      <c r="A160" s="12"/>
      <c r="B160" s="12"/>
      <c r="C160" s="12"/>
      <c r="D160" s="12"/>
      <c r="E160" s="12"/>
      <c r="F160" s="12"/>
      <c r="G160" s="12"/>
      <c r="H160" s="12"/>
      <c r="I160" s="12"/>
      <c r="J160" s="12"/>
      <c r="K160" s="12"/>
      <c r="L160" s="12"/>
      <c r="M160" s="12"/>
      <c r="N160" s="12"/>
    </row>
    <row r="161" customFormat="false" ht="15" hidden="false" customHeight="true" outlineLevel="0" collapsed="false">
      <c r="A161" s="12"/>
      <c r="B161" s="12"/>
      <c r="C161" s="12"/>
      <c r="D161" s="12"/>
      <c r="E161" s="12"/>
      <c r="F161" s="12"/>
      <c r="G161" s="12"/>
      <c r="H161" s="12"/>
      <c r="I161" s="12"/>
      <c r="J161" s="12"/>
      <c r="K161" s="12"/>
      <c r="L161" s="12"/>
      <c r="M161" s="12"/>
      <c r="N161" s="12"/>
    </row>
    <row r="162" customFormat="false" ht="15" hidden="false" customHeight="true" outlineLevel="0" collapsed="false">
      <c r="A162" s="12"/>
      <c r="B162" s="12"/>
      <c r="C162" s="12"/>
      <c r="D162" s="12"/>
      <c r="E162" s="12"/>
      <c r="F162" s="12"/>
      <c r="G162" s="12"/>
      <c r="H162" s="12"/>
      <c r="I162" s="12"/>
      <c r="J162" s="12"/>
      <c r="K162" s="12"/>
      <c r="L162" s="12"/>
      <c r="M162" s="12"/>
      <c r="N162" s="12"/>
    </row>
    <row r="163" customFormat="false" ht="15" hidden="false" customHeight="true" outlineLevel="0" collapsed="false">
      <c r="A163" s="12"/>
      <c r="B163" s="12"/>
      <c r="C163" s="12"/>
      <c r="D163" s="12"/>
      <c r="E163" s="12"/>
      <c r="F163" s="12"/>
      <c r="G163" s="12"/>
      <c r="H163" s="12"/>
      <c r="I163" s="12"/>
      <c r="J163" s="12"/>
      <c r="K163" s="12"/>
      <c r="L163" s="12"/>
      <c r="M163" s="12"/>
      <c r="N163" s="12"/>
    </row>
    <row r="164" customFormat="false" ht="15" hidden="false" customHeight="true" outlineLevel="0" collapsed="false">
      <c r="A164" s="12"/>
      <c r="B164" s="12"/>
      <c r="C164" s="12"/>
      <c r="D164" s="12"/>
      <c r="E164" s="12"/>
      <c r="F164" s="12"/>
      <c r="G164" s="12"/>
      <c r="H164" s="12"/>
      <c r="I164" s="12"/>
      <c r="J164" s="12"/>
      <c r="K164" s="12"/>
      <c r="L164" s="12"/>
      <c r="M164" s="12"/>
      <c r="N164" s="12"/>
    </row>
    <row r="165" customFormat="false" ht="15" hidden="false" customHeight="true" outlineLevel="0" collapsed="false">
      <c r="A165" s="12"/>
      <c r="B165" s="12"/>
      <c r="C165" s="12"/>
      <c r="D165" s="12"/>
      <c r="E165" s="12"/>
      <c r="F165" s="12"/>
      <c r="G165" s="12"/>
      <c r="H165" s="12"/>
      <c r="I165" s="12"/>
      <c r="J165" s="12"/>
      <c r="K165" s="12"/>
      <c r="L165" s="12"/>
      <c r="M165" s="12"/>
      <c r="N165" s="12"/>
    </row>
    <row r="166" customFormat="false" ht="15" hidden="false" customHeight="true" outlineLevel="0" collapsed="false">
      <c r="A166" s="12"/>
      <c r="B166" s="12"/>
      <c r="C166" s="12"/>
      <c r="D166" s="12"/>
      <c r="E166" s="12"/>
      <c r="F166" s="12"/>
      <c r="G166" s="12"/>
      <c r="H166" s="12"/>
      <c r="I166" s="12"/>
      <c r="J166" s="12"/>
      <c r="K166" s="12"/>
      <c r="L166" s="12"/>
      <c r="M166" s="12"/>
      <c r="N166" s="12"/>
    </row>
    <row r="167" customFormat="false" ht="15" hidden="false" customHeight="true" outlineLevel="0" collapsed="false">
      <c r="A167" s="12"/>
      <c r="B167" s="12"/>
      <c r="C167" s="12"/>
      <c r="D167" s="12"/>
      <c r="E167" s="12"/>
      <c r="F167" s="12"/>
      <c r="G167" s="12"/>
      <c r="H167" s="12"/>
      <c r="I167" s="12"/>
      <c r="J167" s="12"/>
      <c r="K167" s="12"/>
      <c r="L167" s="12"/>
      <c r="M167" s="12"/>
      <c r="N167" s="12"/>
    </row>
    <row r="168" customFormat="false" ht="15" hidden="false" customHeight="true" outlineLevel="0" collapsed="false">
      <c r="A168" s="12"/>
      <c r="B168" s="12"/>
      <c r="C168" s="12"/>
      <c r="D168" s="12"/>
      <c r="E168" s="12"/>
      <c r="F168" s="12"/>
      <c r="G168" s="12"/>
      <c r="H168" s="12"/>
      <c r="I168" s="12"/>
      <c r="J168" s="12"/>
      <c r="K168" s="12"/>
      <c r="L168" s="12"/>
      <c r="M168" s="12"/>
      <c r="N168" s="12"/>
    </row>
    <row r="169" customFormat="false" ht="15" hidden="false" customHeight="true" outlineLevel="0" collapsed="false">
      <c r="A169" s="12"/>
      <c r="B169" s="12"/>
      <c r="C169" s="12"/>
      <c r="D169" s="12"/>
      <c r="E169" s="12"/>
      <c r="F169" s="12"/>
      <c r="G169" s="12"/>
      <c r="H169" s="12"/>
      <c r="I169" s="12"/>
      <c r="J169" s="12"/>
      <c r="K169" s="12"/>
      <c r="L169" s="12"/>
      <c r="M169" s="12"/>
      <c r="N169" s="12"/>
    </row>
    <row r="170" customFormat="false" ht="15" hidden="false" customHeight="true" outlineLevel="0" collapsed="false">
      <c r="A170" s="12"/>
      <c r="B170" s="12"/>
      <c r="C170" s="12"/>
      <c r="D170" s="12"/>
      <c r="E170" s="12"/>
      <c r="F170" s="12"/>
      <c r="G170" s="12"/>
      <c r="H170" s="12"/>
      <c r="I170" s="12"/>
      <c r="J170" s="12"/>
      <c r="K170" s="12"/>
      <c r="L170" s="12"/>
      <c r="M170" s="12"/>
      <c r="N170" s="12"/>
    </row>
    <row r="171" customFormat="false" ht="15" hidden="false" customHeight="true" outlineLevel="0" collapsed="false">
      <c r="A171" s="12"/>
      <c r="B171" s="12"/>
      <c r="C171" s="12"/>
      <c r="D171" s="12"/>
      <c r="E171" s="12"/>
      <c r="F171" s="12"/>
      <c r="G171" s="12"/>
      <c r="H171" s="12"/>
      <c r="I171" s="12"/>
      <c r="J171" s="12"/>
      <c r="K171" s="12"/>
      <c r="L171" s="12"/>
      <c r="M171" s="12"/>
      <c r="N171" s="12"/>
    </row>
    <row r="172" customFormat="false" ht="15" hidden="false" customHeight="true" outlineLevel="0" collapsed="false">
      <c r="A172" s="12"/>
      <c r="B172" s="12"/>
      <c r="C172" s="12"/>
      <c r="D172" s="12"/>
      <c r="E172" s="12"/>
      <c r="F172" s="12"/>
      <c r="G172" s="12"/>
      <c r="H172" s="12"/>
      <c r="I172" s="12"/>
      <c r="J172" s="12"/>
      <c r="K172" s="12"/>
      <c r="L172" s="12"/>
      <c r="M172" s="12"/>
      <c r="N172" s="12"/>
    </row>
    <row r="173" customFormat="false" ht="15" hidden="false" customHeight="true" outlineLevel="0" collapsed="false">
      <c r="A173" s="12"/>
      <c r="B173" s="12"/>
      <c r="C173" s="12"/>
      <c r="D173" s="12"/>
      <c r="E173" s="12"/>
      <c r="F173" s="12"/>
      <c r="G173" s="12"/>
      <c r="H173" s="12"/>
      <c r="I173" s="12"/>
      <c r="J173" s="12"/>
      <c r="K173" s="12"/>
      <c r="L173" s="12"/>
      <c r="M173" s="12"/>
      <c r="N173" s="12"/>
    </row>
    <row r="174" customFormat="false" ht="15" hidden="false" customHeight="true" outlineLevel="0" collapsed="false">
      <c r="A174" s="12"/>
      <c r="B174" s="12"/>
      <c r="C174" s="12"/>
      <c r="D174" s="12"/>
      <c r="E174" s="12"/>
      <c r="F174" s="12"/>
      <c r="G174" s="12"/>
      <c r="H174" s="12"/>
      <c r="I174" s="12"/>
      <c r="J174" s="12"/>
      <c r="K174" s="12"/>
      <c r="L174" s="12"/>
      <c r="M174" s="12"/>
      <c r="N174" s="12"/>
    </row>
    <row r="175" customFormat="false" ht="15" hidden="false" customHeight="true" outlineLevel="0" collapsed="false">
      <c r="A175" s="12"/>
      <c r="B175" s="12"/>
      <c r="C175" s="12"/>
      <c r="D175" s="12"/>
      <c r="E175" s="12"/>
      <c r="F175" s="12"/>
      <c r="G175" s="12"/>
      <c r="H175" s="12"/>
      <c r="I175" s="12"/>
      <c r="J175" s="12"/>
      <c r="K175" s="12"/>
      <c r="L175" s="12"/>
      <c r="M175" s="12"/>
      <c r="N175" s="12"/>
    </row>
    <row r="176" customFormat="false" ht="15" hidden="false" customHeight="true" outlineLevel="0" collapsed="false">
      <c r="A176" s="12"/>
      <c r="B176" s="12"/>
      <c r="C176" s="12"/>
      <c r="D176" s="12"/>
      <c r="E176" s="12"/>
      <c r="F176" s="12"/>
      <c r="G176" s="12"/>
      <c r="H176" s="12"/>
      <c r="I176" s="12"/>
      <c r="J176" s="12"/>
      <c r="K176" s="12"/>
      <c r="L176" s="12"/>
      <c r="M176" s="12"/>
      <c r="N176" s="12"/>
    </row>
    <row r="177" customFormat="false" ht="15" hidden="false" customHeight="true" outlineLevel="0" collapsed="false">
      <c r="A177" s="12"/>
      <c r="B177" s="12"/>
      <c r="C177" s="12"/>
      <c r="D177" s="12"/>
      <c r="E177" s="12"/>
      <c r="F177" s="12"/>
      <c r="G177" s="12"/>
      <c r="H177" s="12"/>
      <c r="I177" s="12"/>
      <c r="J177" s="12"/>
      <c r="K177" s="12"/>
      <c r="L177" s="12"/>
      <c r="M177" s="12"/>
      <c r="N177" s="12"/>
    </row>
    <row r="178" customFormat="false" ht="15" hidden="false" customHeight="true" outlineLevel="0" collapsed="false">
      <c r="A178" s="12"/>
      <c r="B178" s="12"/>
      <c r="C178" s="12"/>
      <c r="D178" s="12"/>
      <c r="E178" s="12"/>
      <c r="F178" s="12"/>
      <c r="G178" s="12"/>
      <c r="H178" s="12"/>
      <c r="I178" s="12"/>
      <c r="J178" s="12"/>
      <c r="K178" s="12"/>
      <c r="L178" s="12"/>
      <c r="M178" s="12"/>
      <c r="N178" s="12"/>
    </row>
    <row r="179" customFormat="false" ht="15" hidden="false" customHeight="true" outlineLevel="0" collapsed="false">
      <c r="A179" s="12"/>
      <c r="B179" s="12"/>
      <c r="C179" s="12"/>
      <c r="D179" s="12"/>
      <c r="E179" s="12"/>
      <c r="F179" s="12"/>
      <c r="G179" s="12"/>
      <c r="H179" s="12"/>
      <c r="I179" s="12"/>
      <c r="J179" s="12"/>
      <c r="K179" s="12"/>
      <c r="L179" s="12"/>
      <c r="M179" s="12"/>
      <c r="N179" s="12"/>
    </row>
    <row r="180" customFormat="false" ht="15" hidden="false" customHeight="true" outlineLevel="0" collapsed="false">
      <c r="A180" s="12"/>
      <c r="B180" s="12"/>
      <c r="C180" s="12"/>
      <c r="D180" s="12"/>
      <c r="E180" s="12"/>
      <c r="F180" s="12"/>
      <c r="G180" s="12"/>
      <c r="H180" s="12"/>
      <c r="I180" s="12"/>
      <c r="J180" s="12"/>
      <c r="K180" s="12"/>
      <c r="L180" s="12"/>
      <c r="M180" s="12"/>
      <c r="N180" s="12"/>
    </row>
    <row r="181" customFormat="false" ht="15" hidden="false" customHeight="true" outlineLevel="0" collapsed="false">
      <c r="A181" s="12"/>
      <c r="B181" s="12"/>
      <c r="C181" s="12"/>
      <c r="D181" s="12"/>
      <c r="E181" s="12"/>
      <c r="F181" s="12"/>
      <c r="G181" s="12"/>
      <c r="H181" s="12"/>
      <c r="I181" s="12"/>
      <c r="J181" s="12"/>
      <c r="K181" s="12"/>
      <c r="L181" s="12"/>
      <c r="M181" s="12"/>
      <c r="N181" s="12"/>
    </row>
    <row r="182" customFormat="false" ht="15" hidden="false" customHeight="true" outlineLevel="0" collapsed="false">
      <c r="A182" s="12"/>
      <c r="B182" s="12"/>
      <c r="C182" s="12"/>
      <c r="D182" s="12"/>
      <c r="E182" s="12"/>
      <c r="F182" s="12"/>
      <c r="G182" s="12"/>
      <c r="H182" s="12"/>
      <c r="I182" s="12"/>
      <c r="J182" s="12"/>
      <c r="K182" s="12"/>
      <c r="L182" s="12"/>
      <c r="M182" s="12"/>
      <c r="N182" s="12"/>
    </row>
    <row r="183" customFormat="false" ht="15" hidden="false" customHeight="true" outlineLevel="0" collapsed="false">
      <c r="A183" s="12"/>
      <c r="B183" s="12"/>
      <c r="C183" s="12"/>
      <c r="D183" s="12"/>
      <c r="E183" s="12"/>
      <c r="F183" s="12"/>
      <c r="G183" s="12"/>
      <c r="H183" s="12"/>
      <c r="I183" s="12"/>
      <c r="J183" s="12"/>
      <c r="K183" s="12"/>
      <c r="L183" s="12"/>
      <c r="M183" s="12"/>
      <c r="N183" s="12"/>
    </row>
    <row r="184" customFormat="false" ht="15" hidden="false" customHeight="true" outlineLevel="0" collapsed="false">
      <c r="A184" s="12"/>
      <c r="B184" s="12"/>
      <c r="C184" s="12"/>
      <c r="D184" s="12"/>
      <c r="E184" s="12"/>
      <c r="F184" s="12"/>
      <c r="G184" s="12"/>
      <c r="H184" s="12"/>
      <c r="I184" s="12"/>
      <c r="J184" s="12"/>
      <c r="K184" s="12"/>
      <c r="L184" s="12"/>
      <c r="M184" s="12"/>
      <c r="N184" s="12"/>
    </row>
    <row r="185" customFormat="false" ht="15" hidden="false" customHeight="true" outlineLevel="0" collapsed="false">
      <c r="A185" s="12"/>
      <c r="B185" s="12"/>
      <c r="C185" s="12"/>
      <c r="D185" s="12"/>
      <c r="E185" s="12"/>
      <c r="F185" s="12"/>
      <c r="G185" s="12"/>
      <c r="H185" s="12"/>
      <c r="I185" s="12"/>
      <c r="J185" s="12"/>
      <c r="K185" s="12"/>
      <c r="L185" s="12"/>
      <c r="M185" s="12"/>
      <c r="N185" s="12"/>
    </row>
    <row r="186" customFormat="false" ht="15" hidden="false" customHeight="true" outlineLevel="0" collapsed="false">
      <c r="A186" s="12"/>
      <c r="B186" s="12"/>
      <c r="C186" s="12"/>
      <c r="D186" s="12"/>
      <c r="E186" s="12"/>
      <c r="F186" s="12"/>
      <c r="G186" s="12"/>
      <c r="H186" s="12"/>
      <c r="I186" s="12"/>
      <c r="J186" s="12"/>
      <c r="K186" s="12"/>
      <c r="L186" s="12"/>
      <c r="M186" s="12"/>
      <c r="N186" s="12"/>
    </row>
    <row r="187" customFormat="false" ht="15" hidden="false" customHeight="true" outlineLevel="0" collapsed="false">
      <c r="A187" s="12"/>
      <c r="B187" s="12"/>
      <c r="C187" s="12"/>
      <c r="D187" s="12"/>
      <c r="E187" s="12"/>
      <c r="F187" s="12"/>
      <c r="G187" s="12"/>
      <c r="H187" s="12"/>
      <c r="I187" s="12"/>
      <c r="J187" s="12"/>
      <c r="K187" s="12"/>
      <c r="L187" s="12"/>
      <c r="M187" s="12"/>
      <c r="N187" s="12"/>
    </row>
    <row r="188" customFormat="false" ht="15" hidden="false" customHeight="true" outlineLevel="0" collapsed="false">
      <c r="A188" s="12"/>
      <c r="B188" s="12"/>
      <c r="C188" s="12"/>
      <c r="D188" s="12"/>
      <c r="E188" s="12"/>
      <c r="F188" s="12"/>
      <c r="G188" s="12"/>
      <c r="H188" s="12"/>
      <c r="I188" s="12"/>
      <c r="J188" s="12"/>
      <c r="K188" s="12"/>
      <c r="L188" s="12"/>
      <c r="M188" s="12"/>
      <c r="N188" s="12"/>
    </row>
    <row r="189" customFormat="false" ht="15" hidden="false" customHeight="true" outlineLevel="0" collapsed="false">
      <c r="A189" s="12"/>
      <c r="B189" s="12"/>
      <c r="C189" s="12"/>
      <c r="D189" s="12"/>
      <c r="E189" s="12"/>
      <c r="F189" s="12"/>
      <c r="G189" s="12"/>
      <c r="H189" s="12"/>
      <c r="I189" s="12"/>
      <c r="J189" s="12"/>
      <c r="K189" s="12"/>
      <c r="L189" s="12"/>
      <c r="M189" s="12"/>
      <c r="N189" s="12"/>
    </row>
    <row r="190" customFormat="false" ht="15" hidden="false" customHeight="true" outlineLevel="0" collapsed="false">
      <c r="A190" s="12"/>
      <c r="B190" s="12"/>
      <c r="C190" s="12"/>
      <c r="D190" s="12"/>
      <c r="E190" s="12"/>
      <c r="F190" s="12"/>
      <c r="G190" s="12"/>
      <c r="H190" s="12"/>
      <c r="I190" s="12"/>
      <c r="J190" s="12"/>
      <c r="K190" s="12"/>
      <c r="L190" s="12"/>
      <c r="M190" s="12"/>
      <c r="N190" s="12"/>
    </row>
    <row r="191" customFormat="false" ht="15" hidden="false" customHeight="true" outlineLevel="0" collapsed="false">
      <c r="A191" s="12"/>
      <c r="B191" s="12"/>
      <c r="C191" s="12"/>
      <c r="D191" s="12"/>
      <c r="E191" s="12"/>
      <c r="F191" s="12"/>
      <c r="G191" s="12"/>
      <c r="H191" s="12"/>
      <c r="I191" s="12"/>
      <c r="J191" s="12"/>
      <c r="K191" s="12"/>
      <c r="L191" s="12"/>
      <c r="M191" s="12"/>
      <c r="N191" s="12"/>
    </row>
    <row r="192" customFormat="false" ht="15" hidden="false" customHeight="true" outlineLevel="0" collapsed="false">
      <c r="A192" s="12"/>
      <c r="B192" s="12"/>
      <c r="C192" s="12"/>
      <c r="D192" s="12"/>
      <c r="E192" s="12"/>
      <c r="F192" s="12"/>
      <c r="G192" s="12"/>
      <c r="H192" s="12"/>
      <c r="I192" s="12"/>
      <c r="J192" s="12"/>
      <c r="K192" s="12"/>
      <c r="L192" s="12"/>
      <c r="M192" s="12"/>
      <c r="N192" s="12"/>
    </row>
    <row r="193" customFormat="false" ht="15" hidden="false" customHeight="true" outlineLevel="0" collapsed="false">
      <c r="A193" s="12"/>
      <c r="B193" s="12"/>
      <c r="C193" s="12"/>
      <c r="D193" s="12"/>
      <c r="E193" s="12"/>
      <c r="F193" s="12"/>
      <c r="G193" s="12"/>
      <c r="H193" s="12"/>
      <c r="I193" s="12"/>
      <c r="J193" s="12"/>
      <c r="K193" s="12"/>
      <c r="L193" s="12"/>
      <c r="M193" s="12"/>
      <c r="N193" s="12"/>
    </row>
    <row r="194" customFormat="false" ht="15" hidden="false" customHeight="true" outlineLevel="0" collapsed="false">
      <c r="A194" s="12"/>
      <c r="B194" s="12"/>
      <c r="C194" s="12"/>
      <c r="D194" s="12"/>
      <c r="E194" s="12"/>
      <c r="F194" s="12"/>
      <c r="G194" s="12"/>
      <c r="H194" s="12"/>
      <c r="I194" s="12"/>
      <c r="J194" s="12"/>
      <c r="K194" s="12"/>
      <c r="L194" s="12"/>
      <c r="M194" s="12"/>
      <c r="N194" s="12"/>
    </row>
    <row r="195" customFormat="false" ht="15" hidden="false" customHeight="true" outlineLevel="0" collapsed="false">
      <c r="A195" s="12"/>
      <c r="B195" s="12"/>
      <c r="C195" s="12"/>
      <c r="D195" s="12"/>
      <c r="E195" s="12"/>
      <c r="F195" s="12"/>
      <c r="G195" s="12"/>
      <c r="H195" s="12"/>
      <c r="I195" s="12"/>
      <c r="J195" s="12"/>
      <c r="K195" s="12"/>
      <c r="L195" s="12"/>
      <c r="M195" s="12"/>
      <c r="N195" s="12"/>
    </row>
    <row r="196" customFormat="false" ht="15" hidden="false" customHeight="true" outlineLevel="0" collapsed="false">
      <c r="A196" s="12"/>
      <c r="B196" s="12"/>
      <c r="C196" s="12"/>
      <c r="D196" s="12"/>
      <c r="E196" s="12"/>
      <c r="F196" s="12"/>
      <c r="G196" s="12"/>
      <c r="H196" s="12"/>
      <c r="I196" s="12"/>
      <c r="J196" s="12"/>
      <c r="K196" s="12"/>
      <c r="L196" s="12"/>
      <c r="M196" s="12"/>
      <c r="N196" s="12"/>
    </row>
    <row r="197" customFormat="false" ht="15" hidden="false" customHeight="true" outlineLevel="0" collapsed="false">
      <c r="A197" s="12"/>
      <c r="B197" s="12"/>
      <c r="C197" s="12"/>
      <c r="D197" s="12"/>
      <c r="E197" s="12"/>
      <c r="F197" s="12"/>
      <c r="G197" s="12"/>
      <c r="H197" s="12"/>
      <c r="I197" s="12"/>
      <c r="J197" s="12"/>
      <c r="K197" s="12"/>
      <c r="L197" s="12"/>
      <c r="M197" s="12"/>
      <c r="N197" s="12"/>
    </row>
    <row r="198" customFormat="false" ht="15" hidden="false" customHeight="true" outlineLevel="0" collapsed="false">
      <c r="A198" s="12"/>
      <c r="B198" s="12"/>
      <c r="C198" s="12"/>
      <c r="D198" s="12"/>
      <c r="E198" s="12"/>
      <c r="F198" s="12"/>
      <c r="G198" s="12"/>
      <c r="H198" s="12"/>
      <c r="I198" s="12"/>
      <c r="J198" s="12"/>
      <c r="K198" s="12"/>
      <c r="L198" s="12"/>
      <c r="M198" s="12"/>
      <c r="N198" s="12"/>
    </row>
    <row r="199" customFormat="false" ht="15" hidden="false" customHeight="true" outlineLevel="0" collapsed="false">
      <c r="A199" s="12"/>
      <c r="B199" s="12"/>
      <c r="C199" s="12"/>
      <c r="D199" s="12"/>
      <c r="E199" s="12"/>
      <c r="F199" s="12"/>
      <c r="G199" s="12"/>
      <c r="H199" s="12"/>
      <c r="I199" s="12"/>
      <c r="J199" s="12"/>
      <c r="K199" s="12"/>
      <c r="L199" s="12"/>
      <c r="M199" s="12"/>
      <c r="N199" s="12"/>
    </row>
    <row r="200" customFormat="false" ht="15" hidden="false" customHeight="true" outlineLevel="0" collapsed="false">
      <c r="A200" s="12"/>
      <c r="B200" s="12"/>
      <c r="C200" s="12"/>
      <c r="D200" s="12"/>
      <c r="E200" s="12"/>
      <c r="F200" s="12"/>
      <c r="G200" s="12"/>
      <c r="H200" s="12"/>
      <c r="I200" s="12"/>
      <c r="J200" s="12"/>
      <c r="K200" s="12"/>
      <c r="L200" s="12"/>
      <c r="M200" s="12"/>
      <c r="N200" s="12"/>
    </row>
    <row r="201" customFormat="false" ht="15" hidden="false" customHeight="true" outlineLevel="0" collapsed="false">
      <c r="A201" s="12"/>
      <c r="B201" s="12"/>
      <c r="C201" s="12"/>
      <c r="D201" s="12"/>
      <c r="E201" s="12"/>
      <c r="F201" s="12"/>
      <c r="G201" s="12"/>
      <c r="H201" s="12"/>
      <c r="I201" s="12"/>
      <c r="J201" s="12"/>
      <c r="K201" s="12"/>
      <c r="L201" s="12"/>
      <c r="M201" s="12"/>
      <c r="N201" s="12"/>
    </row>
    <row r="202" customFormat="false" ht="15" hidden="false" customHeight="true" outlineLevel="0" collapsed="false">
      <c r="A202" s="12"/>
      <c r="B202" s="12"/>
      <c r="C202" s="12"/>
      <c r="D202" s="12"/>
      <c r="E202" s="12"/>
      <c r="F202" s="12"/>
      <c r="G202" s="12"/>
      <c r="H202" s="12"/>
      <c r="I202" s="12"/>
      <c r="J202" s="12"/>
      <c r="K202" s="12"/>
      <c r="L202" s="12"/>
      <c r="M202" s="12"/>
      <c r="N202" s="12"/>
    </row>
    <row r="203" customFormat="false" ht="15" hidden="false" customHeight="true" outlineLevel="0" collapsed="false">
      <c r="A203" s="12"/>
      <c r="B203" s="12"/>
      <c r="C203" s="12"/>
      <c r="D203" s="12"/>
      <c r="E203" s="12"/>
      <c r="F203" s="12"/>
      <c r="G203" s="12"/>
      <c r="H203" s="12"/>
      <c r="I203" s="12"/>
      <c r="J203" s="12"/>
      <c r="K203" s="12"/>
      <c r="L203" s="12"/>
      <c r="M203" s="12"/>
      <c r="N203" s="12"/>
    </row>
    <row r="204" customFormat="false" ht="15" hidden="false" customHeight="true" outlineLevel="0" collapsed="false">
      <c r="A204" s="12"/>
      <c r="B204" s="12"/>
      <c r="C204" s="12"/>
      <c r="D204" s="12"/>
      <c r="E204" s="12"/>
      <c r="F204" s="12"/>
      <c r="G204" s="12"/>
      <c r="H204" s="12"/>
      <c r="I204" s="12"/>
      <c r="J204" s="12"/>
      <c r="K204" s="12"/>
      <c r="L204" s="12"/>
      <c r="M204" s="12"/>
      <c r="N204" s="12"/>
    </row>
    <row r="205" customFormat="false" ht="15" hidden="false" customHeight="true" outlineLevel="0" collapsed="false">
      <c r="A205" s="12"/>
      <c r="B205" s="12"/>
      <c r="C205" s="12"/>
      <c r="D205" s="12"/>
      <c r="E205" s="12"/>
      <c r="F205" s="12"/>
      <c r="G205" s="12"/>
      <c r="H205" s="12"/>
      <c r="I205" s="12"/>
      <c r="J205" s="12"/>
      <c r="K205" s="12"/>
      <c r="L205" s="12"/>
      <c r="M205" s="12"/>
      <c r="N205" s="12"/>
    </row>
    <row r="206" customFormat="false" ht="15" hidden="false" customHeight="true" outlineLevel="0" collapsed="false">
      <c r="A206" s="12"/>
      <c r="B206" s="12"/>
      <c r="C206" s="12"/>
      <c r="D206" s="12"/>
      <c r="E206" s="12"/>
      <c r="F206" s="12"/>
      <c r="G206" s="12"/>
      <c r="H206" s="12"/>
      <c r="I206" s="12"/>
      <c r="J206" s="12"/>
      <c r="K206" s="12"/>
      <c r="L206" s="12"/>
      <c r="M206" s="12"/>
      <c r="N206" s="12"/>
    </row>
    <row r="207" customFormat="false" ht="15" hidden="false" customHeight="true" outlineLevel="0" collapsed="false">
      <c r="A207" s="12"/>
      <c r="B207" s="12"/>
      <c r="C207" s="12"/>
      <c r="D207" s="12"/>
      <c r="E207" s="12"/>
      <c r="F207" s="12"/>
      <c r="G207" s="12"/>
      <c r="H207" s="12"/>
      <c r="I207" s="12"/>
      <c r="J207" s="12"/>
      <c r="K207" s="12"/>
      <c r="L207" s="12"/>
      <c r="M207" s="12"/>
      <c r="N207" s="12"/>
    </row>
    <row r="208" customFormat="false" ht="15" hidden="false" customHeight="true" outlineLevel="0" collapsed="false">
      <c r="A208" s="12"/>
      <c r="B208" s="12"/>
      <c r="C208" s="12"/>
      <c r="D208" s="12"/>
      <c r="E208" s="12"/>
      <c r="F208" s="12"/>
      <c r="G208" s="12"/>
      <c r="H208" s="12"/>
      <c r="I208" s="12"/>
      <c r="J208" s="12"/>
      <c r="K208" s="12"/>
      <c r="L208" s="12"/>
      <c r="M208" s="12"/>
      <c r="N208" s="12"/>
    </row>
    <row r="209" customFormat="false" ht="15" hidden="false" customHeight="true" outlineLevel="0" collapsed="false">
      <c r="A209" s="12"/>
      <c r="B209" s="12"/>
      <c r="C209" s="12"/>
      <c r="D209" s="12"/>
      <c r="E209" s="12"/>
      <c r="F209" s="12"/>
      <c r="G209" s="12"/>
      <c r="H209" s="12"/>
      <c r="I209" s="12"/>
      <c r="J209" s="12"/>
      <c r="K209" s="12"/>
      <c r="L209" s="12"/>
      <c r="M209" s="12"/>
      <c r="N209" s="12"/>
    </row>
    <row r="210" customFormat="false" ht="15" hidden="false" customHeight="true" outlineLevel="0" collapsed="false">
      <c r="A210" s="12"/>
      <c r="B210" s="12"/>
      <c r="C210" s="12"/>
      <c r="D210" s="12"/>
      <c r="E210" s="12"/>
      <c r="F210" s="12"/>
      <c r="G210" s="12"/>
      <c r="H210" s="12"/>
      <c r="I210" s="12"/>
      <c r="J210" s="12"/>
      <c r="K210" s="12"/>
      <c r="L210" s="12"/>
      <c r="M210" s="12"/>
      <c r="N210" s="12"/>
    </row>
    <row r="211" customFormat="false" ht="15" hidden="false" customHeight="true" outlineLevel="0" collapsed="false">
      <c r="A211" s="12"/>
      <c r="B211" s="12"/>
      <c r="C211" s="12"/>
      <c r="D211" s="12"/>
      <c r="E211" s="12"/>
      <c r="F211" s="12"/>
      <c r="G211" s="12"/>
      <c r="H211" s="12"/>
      <c r="I211" s="12"/>
      <c r="J211" s="12"/>
      <c r="K211" s="12"/>
      <c r="L211" s="12"/>
      <c r="M211" s="12"/>
      <c r="N211" s="12"/>
    </row>
    <row r="212" customFormat="false" ht="15" hidden="false" customHeight="true" outlineLevel="0" collapsed="false">
      <c r="A212" s="12"/>
      <c r="B212" s="12"/>
      <c r="C212" s="12"/>
      <c r="D212" s="12"/>
      <c r="E212" s="12"/>
      <c r="F212" s="12"/>
      <c r="G212" s="12"/>
      <c r="H212" s="12"/>
      <c r="I212" s="12"/>
      <c r="J212" s="12"/>
      <c r="K212" s="12"/>
      <c r="L212" s="12"/>
      <c r="M212" s="12"/>
      <c r="N212" s="12"/>
    </row>
    <row r="213" customFormat="false" ht="15" hidden="false" customHeight="true" outlineLevel="0" collapsed="false">
      <c r="A213" s="12"/>
      <c r="B213" s="12"/>
      <c r="C213" s="12"/>
      <c r="D213" s="12"/>
      <c r="E213" s="12"/>
      <c r="F213" s="12"/>
      <c r="G213" s="12"/>
      <c r="H213" s="12"/>
      <c r="I213" s="12"/>
      <c r="J213" s="12"/>
      <c r="K213" s="12"/>
      <c r="L213" s="12"/>
      <c r="M213" s="12"/>
      <c r="N213" s="12"/>
    </row>
    <row r="214" customFormat="false" ht="15" hidden="false" customHeight="true" outlineLevel="0" collapsed="false">
      <c r="A214" s="12"/>
      <c r="B214" s="12"/>
      <c r="C214" s="12"/>
      <c r="D214" s="12"/>
      <c r="E214" s="12"/>
      <c r="F214" s="12"/>
      <c r="G214" s="12"/>
      <c r="H214" s="12"/>
      <c r="I214" s="12"/>
      <c r="J214" s="12"/>
      <c r="K214" s="12"/>
      <c r="L214" s="12"/>
      <c r="M214" s="12"/>
      <c r="N214" s="12"/>
    </row>
    <row r="215" customFormat="false" ht="15" hidden="false" customHeight="true" outlineLevel="0" collapsed="false">
      <c r="A215" s="12"/>
      <c r="B215" s="12"/>
      <c r="C215" s="12"/>
      <c r="D215" s="12"/>
      <c r="E215" s="12"/>
      <c r="F215" s="12"/>
      <c r="G215" s="12"/>
      <c r="H215" s="12"/>
      <c r="I215" s="12"/>
      <c r="J215" s="12"/>
      <c r="K215" s="12"/>
      <c r="L215" s="12"/>
      <c r="M215" s="12"/>
      <c r="N215" s="12"/>
    </row>
    <row r="216" customFormat="false" ht="15" hidden="false" customHeight="true" outlineLevel="0" collapsed="false">
      <c r="A216" s="12"/>
      <c r="B216" s="12"/>
      <c r="C216" s="12"/>
      <c r="D216" s="12"/>
      <c r="E216" s="12"/>
      <c r="F216" s="12"/>
      <c r="G216" s="12"/>
      <c r="H216" s="12"/>
      <c r="I216" s="12"/>
      <c r="J216" s="12"/>
      <c r="K216" s="12"/>
      <c r="L216" s="12"/>
      <c r="M216" s="12"/>
      <c r="N216" s="12"/>
    </row>
    <row r="217" customFormat="false" ht="15" hidden="false" customHeight="true" outlineLevel="0" collapsed="false">
      <c r="A217" s="12"/>
      <c r="B217" s="12"/>
      <c r="C217" s="12"/>
      <c r="D217" s="12"/>
      <c r="E217" s="12"/>
      <c r="F217" s="12"/>
      <c r="G217" s="12"/>
      <c r="H217" s="12"/>
      <c r="I217" s="12"/>
      <c r="J217" s="12"/>
      <c r="K217" s="12"/>
      <c r="L217" s="12"/>
      <c r="M217" s="12"/>
      <c r="N217" s="12"/>
    </row>
    <row r="218" customFormat="false" ht="15" hidden="false" customHeight="true" outlineLevel="0" collapsed="false">
      <c r="A218" s="12"/>
      <c r="B218" s="12"/>
      <c r="C218" s="12"/>
      <c r="D218" s="12"/>
      <c r="E218" s="12"/>
      <c r="F218" s="12"/>
      <c r="G218" s="12"/>
      <c r="H218" s="12"/>
      <c r="I218" s="12"/>
      <c r="J218" s="12"/>
      <c r="K218" s="12"/>
      <c r="L218" s="12"/>
      <c r="M218" s="12"/>
      <c r="N218" s="12"/>
    </row>
    <row r="219" customFormat="false" ht="15" hidden="false" customHeight="true" outlineLevel="0" collapsed="false">
      <c r="A219" s="12"/>
      <c r="B219" s="12"/>
      <c r="C219" s="12"/>
      <c r="D219" s="12"/>
      <c r="E219" s="12"/>
      <c r="F219" s="12"/>
      <c r="G219" s="12"/>
      <c r="H219" s="12"/>
      <c r="I219" s="12"/>
      <c r="J219" s="12"/>
      <c r="K219" s="12"/>
      <c r="L219" s="12"/>
      <c r="M219" s="12"/>
      <c r="N219" s="12"/>
    </row>
    <row r="220" customFormat="false" ht="15" hidden="false" customHeight="true" outlineLevel="0" collapsed="false">
      <c r="A220" s="12"/>
      <c r="B220" s="12"/>
      <c r="C220" s="12"/>
      <c r="D220" s="12"/>
      <c r="E220" s="12"/>
      <c r="F220" s="12"/>
      <c r="G220" s="12"/>
      <c r="H220" s="12"/>
      <c r="I220" s="12"/>
      <c r="J220" s="12"/>
      <c r="K220" s="12"/>
      <c r="L220" s="12"/>
      <c r="M220" s="12"/>
      <c r="N220" s="12"/>
    </row>
    <row r="221" customFormat="false" ht="15" hidden="false" customHeight="true" outlineLevel="0" collapsed="false">
      <c r="A221" s="12"/>
      <c r="B221" s="12"/>
      <c r="C221" s="12"/>
      <c r="D221" s="12"/>
      <c r="E221" s="12"/>
      <c r="F221" s="12"/>
      <c r="G221" s="12"/>
      <c r="H221" s="12"/>
      <c r="I221" s="12"/>
      <c r="J221" s="12"/>
      <c r="K221" s="12"/>
      <c r="L221" s="12"/>
      <c r="M221" s="12"/>
      <c r="N221" s="12"/>
    </row>
    <row r="222" customFormat="false" ht="15" hidden="false" customHeight="true" outlineLevel="0" collapsed="false">
      <c r="A222" s="12"/>
      <c r="B222" s="12"/>
      <c r="C222" s="12"/>
      <c r="D222" s="12"/>
      <c r="E222" s="12"/>
      <c r="F222" s="12"/>
      <c r="G222" s="12"/>
      <c r="H222" s="12"/>
      <c r="I222" s="12"/>
      <c r="J222" s="12"/>
      <c r="K222" s="12"/>
      <c r="L222" s="12"/>
      <c r="M222" s="12"/>
      <c r="N222" s="12"/>
    </row>
    <row r="223" customFormat="false" ht="15" hidden="false" customHeight="true" outlineLevel="0" collapsed="false">
      <c r="A223" s="12"/>
      <c r="B223" s="12"/>
      <c r="C223" s="12"/>
      <c r="D223" s="12"/>
      <c r="E223" s="12"/>
      <c r="F223" s="12"/>
      <c r="G223" s="12"/>
      <c r="H223" s="12"/>
      <c r="I223" s="12"/>
      <c r="J223" s="12"/>
      <c r="K223" s="12"/>
      <c r="L223" s="12"/>
      <c r="M223" s="12"/>
      <c r="N223" s="12"/>
    </row>
    <row r="224" customFormat="false" ht="15" hidden="false" customHeight="true" outlineLevel="0" collapsed="false">
      <c r="A224" s="12"/>
      <c r="B224" s="12"/>
      <c r="C224" s="12"/>
      <c r="D224" s="12"/>
      <c r="E224" s="12"/>
      <c r="F224" s="12"/>
      <c r="G224" s="12"/>
      <c r="H224" s="12"/>
      <c r="I224" s="12"/>
      <c r="J224" s="12"/>
      <c r="K224" s="12"/>
      <c r="L224" s="12"/>
      <c r="M224" s="12"/>
      <c r="N224" s="12"/>
    </row>
    <row r="225" customFormat="false" ht="15" hidden="false" customHeight="true" outlineLevel="0" collapsed="false">
      <c r="A225" s="12"/>
      <c r="B225" s="12"/>
      <c r="C225" s="12"/>
      <c r="D225" s="12"/>
      <c r="E225" s="12"/>
      <c r="F225" s="12"/>
      <c r="G225" s="12"/>
      <c r="H225" s="12"/>
      <c r="I225" s="12"/>
      <c r="J225" s="12"/>
      <c r="K225" s="12"/>
      <c r="L225" s="12"/>
      <c r="M225" s="12"/>
      <c r="N225" s="12"/>
    </row>
    <row r="226" customFormat="false" ht="15" hidden="false" customHeight="true" outlineLevel="0" collapsed="false">
      <c r="A226" s="12"/>
      <c r="B226" s="12"/>
      <c r="C226" s="12"/>
      <c r="D226" s="12"/>
      <c r="E226" s="12"/>
      <c r="F226" s="12"/>
      <c r="G226" s="12"/>
      <c r="H226" s="12"/>
      <c r="I226" s="12"/>
      <c r="J226" s="12"/>
      <c r="K226" s="12"/>
      <c r="L226" s="12"/>
      <c r="M226" s="12"/>
      <c r="N226" s="12"/>
    </row>
    <row r="227" customFormat="false" ht="15" hidden="false" customHeight="true" outlineLevel="0" collapsed="false">
      <c r="A227" s="12"/>
      <c r="B227" s="12"/>
      <c r="C227" s="12"/>
      <c r="D227" s="12"/>
      <c r="E227" s="12"/>
      <c r="F227" s="12"/>
      <c r="G227" s="12"/>
      <c r="H227" s="12"/>
      <c r="I227" s="12"/>
      <c r="J227" s="12"/>
      <c r="K227" s="12"/>
      <c r="L227" s="12"/>
      <c r="M227" s="12"/>
      <c r="N227" s="12"/>
    </row>
    <row r="228" customFormat="false" ht="15" hidden="false" customHeight="true" outlineLevel="0" collapsed="false">
      <c r="A228" s="12"/>
      <c r="B228" s="12"/>
      <c r="C228" s="12"/>
      <c r="D228" s="12"/>
      <c r="E228" s="12"/>
      <c r="F228" s="12"/>
      <c r="G228" s="12"/>
      <c r="H228" s="12"/>
      <c r="I228" s="12"/>
      <c r="J228" s="12"/>
      <c r="K228" s="12"/>
      <c r="L228" s="12"/>
      <c r="M228" s="12"/>
      <c r="N228" s="12"/>
    </row>
    <row r="229" customFormat="false" ht="15" hidden="false" customHeight="true" outlineLevel="0" collapsed="false">
      <c r="A229" s="12"/>
      <c r="B229" s="12"/>
      <c r="C229" s="12"/>
      <c r="D229" s="12"/>
      <c r="E229" s="12"/>
      <c r="F229" s="12"/>
      <c r="G229" s="12"/>
      <c r="H229" s="12"/>
      <c r="I229" s="12"/>
      <c r="J229" s="12"/>
      <c r="K229" s="12"/>
      <c r="L229" s="12"/>
      <c r="M229" s="12"/>
      <c r="N229" s="12"/>
    </row>
    <row r="230" customFormat="false" ht="15" hidden="false" customHeight="true" outlineLevel="0" collapsed="false">
      <c r="A230" s="12"/>
      <c r="B230" s="12"/>
      <c r="C230" s="12"/>
      <c r="D230" s="12"/>
      <c r="E230" s="12"/>
      <c r="F230" s="12"/>
      <c r="G230" s="12"/>
      <c r="H230" s="12"/>
      <c r="I230" s="12"/>
      <c r="J230" s="12"/>
      <c r="K230" s="12"/>
      <c r="L230" s="12"/>
      <c r="M230" s="12"/>
      <c r="N230" s="12"/>
    </row>
    <row r="231" customFormat="false" ht="15" hidden="false" customHeight="true" outlineLevel="0" collapsed="false">
      <c r="A231" s="12"/>
      <c r="B231" s="12"/>
      <c r="C231" s="12"/>
      <c r="D231" s="12"/>
      <c r="E231" s="12"/>
      <c r="F231" s="12"/>
      <c r="G231" s="12"/>
      <c r="H231" s="12"/>
      <c r="I231" s="12"/>
      <c r="J231" s="12"/>
      <c r="K231" s="12"/>
      <c r="L231" s="12"/>
      <c r="M231" s="12"/>
      <c r="N231" s="12"/>
    </row>
    <row r="232" customFormat="false" ht="15" hidden="false" customHeight="true" outlineLevel="0" collapsed="false">
      <c r="A232" s="12"/>
      <c r="B232" s="12"/>
      <c r="C232" s="12"/>
      <c r="D232" s="12"/>
      <c r="E232" s="12"/>
      <c r="F232" s="12"/>
      <c r="G232" s="12"/>
      <c r="H232" s="12"/>
      <c r="I232" s="12"/>
      <c r="J232" s="12"/>
      <c r="K232" s="12"/>
      <c r="L232" s="12"/>
      <c r="M232" s="12"/>
      <c r="N232" s="12"/>
    </row>
    <row r="233" customFormat="false" ht="15" hidden="false" customHeight="true" outlineLevel="0" collapsed="false">
      <c r="A233" s="12"/>
      <c r="B233" s="12"/>
      <c r="C233" s="12"/>
      <c r="D233" s="12"/>
      <c r="E233" s="12"/>
      <c r="F233" s="12"/>
      <c r="G233" s="12"/>
      <c r="H233" s="12"/>
      <c r="I233" s="12"/>
      <c r="J233" s="12"/>
      <c r="K233" s="12"/>
      <c r="L233" s="12"/>
      <c r="M233" s="12"/>
      <c r="N233" s="12"/>
    </row>
    <row r="234" customFormat="false" ht="15" hidden="false" customHeight="true" outlineLevel="0" collapsed="false">
      <c r="A234" s="12"/>
      <c r="B234" s="12"/>
      <c r="C234" s="12"/>
      <c r="D234" s="12"/>
      <c r="E234" s="12"/>
      <c r="F234" s="12"/>
      <c r="G234" s="12"/>
      <c r="H234" s="12"/>
      <c r="I234" s="12"/>
      <c r="J234" s="12"/>
      <c r="K234" s="12"/>
      <c r="L234" s="12"/>
      <c r="M234" s="12"/>
      <c r="N234" s="12"/>
    </row>
    <row r="235" customFormat="false" ht="15" hidden="false" customHeight="true" outlineLevel="0" collapsed="false">
      <c r="A235" s="12"/>
      <c r="B235" s="12"/>
      <c r="C235" s="12"/>
      <c r="D235" s="12"/>
      <c r="E235" s="12"/>
      <c r="F235" s="12"/>
      <c r="G235" s="12"/>
      <c r="H235" s="12"/>
      <c r="I235" s="12"/>
      <c r="J235" s="12"/>
      <c r="K235" s="12"/>
      <c r="L235" s="12"/>
      <c r="M235" s="12"/>
      <c r="N235" s="12"/>
    </row>
    <row r="236" customFormat="false" ht="15" hidden="false" customHeight="true" outlineLevel="0" collapsed="false">
      <c r="A236" s="12"/>
      <c r="B236" s="12"/>
      <c r="C236" s="12"/>
      <c r="D236" s="12"/>
      <c r="E236" s="12"/>
      <c r="F236" s="12"/>
      <c r="G236" s="12"/>
      <c r="H236" s="12"/>
      <c r="I236" s="12"/>
      <c r="J236" s="12"/>
      <c r="K236" s="12"/>
      <c r="L236" s="12"/>
      <c r="M236" s="12"/>
      <c r="N236" s="12"/>
    </row>
    <row r="237" customFormat="false" ht="15" hidden="false" customHeight="true" outlineLevel="0" collapsed="false">
      <c r="A237" s="12"/>
      <c r="B237" s="12"/>
      <c r="C237" s="12"/>
      <c r="D237" s="12"/>
      <c r="E237" s="12"/>
      <c r="F237" s="12"/>
      <c r="G237" s="12"/>
      <c r="H237" s="12"/>
      <c r="I237" s="12"/>
      <c r="J237" s="12"/>
      <c r="K237" s="12"/>
      <c r="L237" s="12"/>
      <c r="M237" s="12"/>
      <c r="N237" s="12"/>
    </row>
    <row r="238" customFormat="false" ht="15" hidden="false" customHeight="true" outlineLevel="0" collapsed="false">
      <c r="A238" s="12"/>
      <c r="B238" s="12"/>
      <c r="C238" s="12"/>
      <c r="D238" s="12"/>
      <c r="E238" s="12"/>
      <c r="F238" s="12"/>
      <c r="G238" s="12"/>
      <c r="H238" s="12"/>
      <c r="I238" s="12"/>
      <c r="J238" s="12"/>
      <c r="K238" s="12"/>
      <c r="L238" s="12"/>
      <c r="M238" s="12"/>
      <c r="N238" s="12"/>
    </row>
    <row r="239" customFormat="false" ht="15" hidden="false" customHeight="true" outlineLevel="0" collapsed="false">
      <c r="A239" s="12"/>
      <c r="B239" s="12"/>
      <c r="C239" s="12"/>
      <c r="D239" s="12"/>
      <c r="E239" s="12"/>
      <c r="F239" s="12"/>
      <c r="G239" s="12"/>
      <c r="H239" s="12"/>
      <c r="I239" s="12"/>
      <c r="J239" s="12"/>
      <c r="K239" s="12"/>
      <c r="L239" s="12"/>
      <c r="M239" s="12"/>
      <c r="N239" s="12"/>
    </row>
    <row r="240" customFormat="false" ht="15" hidden="false" customHeight="true" outlineLevel="0" collapsed="false">
      <c r="A240" s="12"/>
      <c r="B240" s="12"/>
      <c r="C240" s="12"/>
      <c r="D240" s="12"/>
      <c r="E240" s="12"/>
      <c r="F240" s="12"/>
      <c r="G240" s="12"/>
      <c r="H240" s="12"/>
      <c r="I240" s="12"/>
      <c r="J240" s="12"/>
      <c r="K240" s="12"/>
      <c r="L240" s="12"/>
      <c r="M240" s="12"/>
      <c r="N240" s="12"/>
    </row>
    <row r="241" customFormat="false" ht="15" hidden="false" customHeight="true" outlineLevel="0" collapsed="false">
      <c r="A241" s="12"/>
      <c r="B241" s="12"/>
      <c r="C241" s="12"/>
      <c r="D241" s="12"/>
      <c r="E241" s="12"/>
      <c r="F241" s="12"/>
      <c r="G241" s="12"/>
      <c r="H241" s="12"/>
      <c r="I241" s="12"/>
      <c r="J241" s="12"/>
      <c r="K241" s="12"/>
      <c r="L241" s="12"/>
      <c r="M241" s="12"/>
      <c r="N241" s="12"/>
    </row>
    <row r="242" customFormat="false" ht="15" hidden="false" customHeight="true" outlineLevel="0" collapsed="false">
      <c r="A242" s="12"/>
      <c r="B242" s="12"/>
      <c r="C242" s="12"/>
      <c r="D242" s="12"/>
      <c r="E242" s="12"/>
      <c r="F242" s="12"/>
      <c r="G242" s="12"/>
      <c r="H242" s="12"/>
      <c r="I242" s="12"/>
      <c r="J242" s="12"/>
      <c r="K242" s="12"/>
      <c r="L242" s="12"/>
      <c r="M242" s="12"/>
      <c r="N242" s="12"/>
    </row>
    <row r="243" customFormat="false" ht="15" hidden="false" customHeight="true" outlineLevel="0" collapsed="false">
      <c r="A243" s="12"/>
      <c r="B243" s="12"/>
      <c r="C243" s="12"/>
      <c r="D243" s="12"/>
      <c r="E243" s="12"/>
      <c r="F243" s="12"/>
      <c r="G243" s="12"/>
      <c r="H243" s="12"/>
      <c r="I243" s="12"/>
      <c r="J243" s="12"/>
      <c r="K243" s="12"/>
      <c r="L243" s="12"/>
      <c r="M243" s="12"/>
      <c r="N243" s="12"/>
    </row>
    <row r="244" customFormat="false" ht="15" hidden="false" customHeight="true" outlineLevel="0" collapsed="false">
      <c r="A244" s="12"/>
      <c r="B244" s="12"/>
      <c r="C244" s="12"/>
      <c r="D244" s="12"/>
      <c r="E244" s="12"/>
      <c r="F244" s="12"/>
      <c r="G244" s="12"/>
      <c r="H244" s="12"/>
      <c r="I244" s="12"/>
      <c r="J244" s="12"/>
      <c r="K244" s="12"/>
      <c r="L244" s="12"/>
      <c r="M244" s="12"/>
      <c r="N244" s="12"/>
    </row>
    <row r="245" customFormat="false" ht="15" hidden="false" customHeight="true" outlineLevel="0" collapsed="false">
      <c r="A245" s="12"/>
      <c r="B245" s="12"/>
      <c r="C245" s="12"/>
      <c r="D245" s="12"/>
      <c r="E245" s="12"/>
      <c r="F245" s="12"/>
      <c r="G245" s="12"/>
      <c r="H245" s="12"/>
      <c r="I245" s="12"/>
      <c r="J245" s="12"/>
      <c r="K245" s="12"/>
      <c r="L245" s="12"/>
      <c r="M245" s="12"/>
      <c r="N245" s="12"/>
    </row>
    <row r="246" customFormat="false" ht="15" hidden="false" customHeight="true" outlineLevel="0" collapsed="false">
      <c r="A246" s="12"/>
      <c r="B246" s="12"/>
      <c r="C246" s="12"/>
      <c r="D246" s="12"/>
      <c r="E246" s="12"/>
      <c r="F246" s="12"/>
      <c r="G246" s="12"/>
      <c r="H246" s="12"/>
      <c r="I246" s="12"/>
      <c r="J246" s="12"/>
      <c r="K246" s="12"/>
      <c r="L246" s="12"/>
      <c r="M246" s="12"/>
      <c r="N246" s="12"/>
    </row>
    <row r="247" customFormat="false" ht="15" hidden="false" customHeight="true" outlineLevel="0" collapsed="false">
      <c r="A247" s="12"/>
      <c r="B247" s="12"/>
      <c r="C247" s="12"/>
      <c r="D247" s="12"/>
      <c r="E247" s="12"/>
      <c r="F247" s="12"/>
      <c r="G247" s="12"/>
      <c r="H247" s="12"/>
      <c r="I247" s="12"/>
      <c r="J247" s="12"/>
      <c r="K247" s="12"/>
      <c r="L247" s="12"/>
      <c r="M247" s="12"/>
      <c r="N247" s="12"/>
    </row>
    <row r="248" customFormat="false" ht="15" hidden="false" customHeight="true" outlineLevel="0" collapsed="false">
      <c r="A248" s="12"/>
      <c r="B248" s="12"/>
      <c r="C248" s="12"/>
      <c r="D248" s="12"/>
      <c r="E248" s="12"/>
      <c r="F248" s="12"/>
      <c r="G248" s="12"/>
      <c r="H248" s="12"/>
      <c r="I248" s="12"/>
      <c r="J248" s="12"/>
      <c r="K248" s="12"/>
      <c r="L248" s="12"/>
      <c r="M248" s="12"/>
      <c r="N248" s="12"/>
    </row>
    <row r="249" customFormat="false" ht="15" hidden="false" customHeight="true" outlineLevel="0" collapsed="false">
      <c r="A249" s="12"/>
      <c r="B249" s="12"/>
      <c r="C249" s="12"/>
      <c r="D249" s="12"/>
      <c r="E249" s="12"/>
      <c r="F249" s="12"/>
      <c r="G249" s="12"/>
      <c r="H249" s="12"/>
      <c r="I249" s="12"/>
      <c r="J249" s="12"/>
      <c r="K249" s="12"/>
      <c r="L249" s="12"/>
      <c r="M249" s="12"/>
      <c r="N249" s="12"/>
    </row>
    <row r="250" customFormat="false" ht="15" hidden="false" customHeight="true" outlineLevel="0" collapsed="false">
      <c r="A250" s="12"/>
      <c r="B250" s="12"/>
      <c r="C250" s="12"/>
      <c r="D250" s="12"/>
      <c r="E250" s="12"/>
      <c r="F250" s="12"/>
      <c r="G250" s="12"/>
      <c r="H250" s="12"/>
      <c r="I250" s="12"/>
      <c r="J250" s="12"/>
      <c r="K250" s="12"/>
      <c r="L250" s="12"/>
      <c r="M250" s="12"/>
      <c r="N250" s="12"/>
    </row>
    <row r="251" customFormat="false" ht="15" hidden="false" customHeight="true" outlineLevel="0" collapsed="false">
      <c r="A251" s="12"/>
      <c r="B251" s="12"/>
      <c r="C251" s="12"/>
      <c r="D251" s="12"/>
      <c r="E251" s="12"/>
      <c r="F251" s="12"/>
      <c r="G251" s="12"/>
      <c r="H251" s="12"/>
      <c r="I251" s="12"/>
      <c r="J251" s="12"/>
      <c r="K251" s="12"/>
      <c r="L251" s="12"/>
      <c r="M251" s="12"/>
      <c r="N251" s="12"/>
    </row>
    <row r="252" customFormat="false" ht="15" hidden="false" customHeight="true" outlineLevel="0" collapsed="false">
      <c r="A252" s="12"/>
      <c r="B252" s="12"/>
      <c r="C252" s="12"/>
      <c r="D252" s="12"/>
      <c r="E252" s="12"/>
      <c r="F252" s="12"/>
      <c r="G252" s="12"/>
      <c r="H252" s="12"/>
      <c r="I252" s="12"/>
      <c r="J252" s="12"/>
      <c r="K252" s="12"/>
      <c r="L252" s="12"/>
      <c r="M252" s="12"/>
      <c r="N252" s="12"/>
    </row>
    <row r="253" customFormat="false" ht="15" hidden="false" customHeight="true" outlineLevel="0" collapsed="false">
      <c r="A253" s="12"/>
      <c r="B253" s="12"/>
      <c r="C253" s="12"/>
      <c r="D253" s="12"/>
      <c r="E253" s="12"/>
      <c r="F253" s="12"/>
      <c r="G253" s="12"/>
      <c r="H253" s="12"/>
      <c r="I253" s="12"/>
      <c r="J253" s="12"/>
      <c r="K253" s="12"/>
      <c r="L253" s="12"/>
      <c r="M253" s="12"/>
      <c r="N253" s="12"/>
    </row>
    <row r="254" customFormat="false" ht="15" hidden="false" customHeight="true" outlineLevel="0" collapsed="false">
      <c r="A254" s="12"/>
      <c r="B254" s="12"/>
      <c r="C254" s="12"/>
      <c r="D254" s="12"/>
      <c r="E254" s="12"/>
      <c r="F254" s="12"/>
      <c r="G254" s="12"/>
      <c r="H254" s="12"/>
      <c r="I254" s="12"/>
      <c r="J254" s="12"/>
      <c r="K254" s="12"/>
      <c r="L254" s="12"/>
      <c r="M254" s="12"/>
      <c r="N254" s="12"/>
    </row>
    <row r="255" customFormat="false" ht="15" hidden="false" customHeight="true" outlineLevel="0" collapsed="false">
      <c r="A255" s="12"/>
      <c r="B255" s="12"/>
      <c r="C255" s="12"/>
      <c r="D255" s="12"/>
      <c r="E255" s="12"/>
      <c r="F255" s="12"/>
      <c r="G255" s="12"/>
      <c r="H255" s="12"/>
      <c r="I255" s="12"/>
      <c r="J255" s="12"/>
      <c r="K255" s="12"/>
      <c r="L255" s="12"/>
      <c r="M255" s="12"/>
      <c r="N255" s="12"/>
    </row>
    <row r="256" customFormat="false" ht="15" hidden="false" customHeight="true" outlineLevel="0" collapsed="false">
      <c r="A256" s="12"/>
      <c r="B256" s="12"/>
      <c r="C256" s="12"/>
      <c r="D256" s="12"/>
      <c r="E256" s="12"/>
      <c r="F256" s="12"/>
      <c r="G256" s="12"/>
      <c r="H256" s="12"/>
      <c r="I256" s="12"/>
      <c r="J256" s="12"/>
      <c r="K256" s="12"/>
      <c r="L256" s="12"/>
      <c r="M256" s="12"/>
      <c r="N256" s="12"/>
    </row>
    <row r="257" customFormat="false" ht="15" hidden="false" customHeight="true" outlineLevel="0" collapsed="false">
      <c r="A257" s="12"/>
      <c r="B257" s="12"/>
      <c r="C257" s="12"/>
      <c r="D257" s="12"/>
      <c r="E257" s="12"/>
      <c r="F257" s="12"/>
      <c r="G257" s="12"/>
      <c r="H257" s="12"/>
      <c r="I257" s="12"/>
      <c r="J257" s="12"/>
      <c r="K257" s="12"/>
      <c r="L257" s="12"/>
      <c r="M257" s="12"/>
      <c r="N257" s="12"/>
    </row>
    <row r="258" customFormat="false" ht="15" hidden="false" customHeight="true" outlineLevel="0" collapsed="false">
      <c r="A258" s="12"/>
      <c r="B258" s="12"/>
      <c r="C258" s="12"/>
      <c r="D258" s="12"/>
      <c r="E258" s="12"/>
      <c r="F258" s="12"/>
      <c r="G258" s="12"/>
      <c r="H258" s="12"/>
      <c r="I258" s="12"/>
      <c r="J258" s="12"/>
      <c r="K258" s="12"/>
      <c r="L258" s="12"/>
      <c r="M258" s="12"/>
      <c r="N258" s="12"/>
    </row>
    <row r="259" customFormat="false" ht="15" hidden="false" customHeight="true" outlineLevel="0" collapsed="false">
      <c r="A259" s="12"/>
      <c r="B259" s="12"/>
      <c r="C259" s="12"/>
      <c r="D259" s="12"/>
      <c r="E259" s="12"/>
      <c r="F259" s="12"/>
      <c r="G259" s="12"/>
      <c r="H259" s="12"/>
      <c r="I259" s="12"/>
      <c r="J259" s="12"/>
      <c r="K259" s="12"/>
      <c r="L259" s="12"/>
      <c r="M259" s="12"/>
      <c r="N259" s="12"/>
    </row>
    <row r="260" customFormat="false" ht="15" hidden="false" customHeight="true" outlineLevel="0" collapsed="false">
      <c r="A260" s="12"/>
      <c r="B260" s="12"/>
      <c r="C260" s="12"/>
      <c r="D260" s="12"/>
      <c r="E260" s="12"/>
      <c r="F260" s="12"/>
      <c r="G260" s="12"/>
      <c r="H260" s="12"/>
      <c r="I260" s="12"/>
      <c r="J260" s="12"/>
      <c r="K260" s="12"/>
      <c r="L260" s="12"/>
      <c r="M260" s="12"/>
      <c r="N260" s="12"/>
    </row>
    <row r="261" customFormat="false" ht="15" hidden="false" customHeight="true" outlineLevel="0" collapsed="false">
      <c r="A261" s="12"/>
      <c r="B261" s="12"/>
      <c r="C261" s="12"/>
      <c r="D261" s="12"/>
      <c r="E261" s="12"/>
      <c r="F261" s="12"/>
      <c r="G261" s="12"/>
      <c r="H261" s="12"/>
      <c r="I261" s="12"/>
      <c r="J261" s="12"/>
      <c r="K261" s="12"/>
      <c r="L261" s="12"/>
      <c r="M261" s="12"/>
      <c r="N261" s="12"/>
    </row>
    <row r="262" customFormat="false" ht="15" hidden="false" customHeight="true" outlineLevel="0" collapsed="false">
      <c r="A262" s="12"/>
      <c r="B262" s="12"/>
      <c r="C262" s="12"/>
      <c r="D262" s="12"/>
      <c r="E262" s="12"/>
      <c r="F262" s="12"/>
      <c r="G262" s="12"/>
      <c r="H262" s="12"/>
      <c r="I262" s="12"/>
      <c r="J262" s="12"/>
      <c r="K262" s="12"/>
      <c r="L262" s="12"/>
      <c r="M262" s="12"/>
      <c r="N262" s="12"/>
    </row>
    <row r="263" customFormat="false" ht="15" hidden="false" customHeight="true" outlineLevel="0" collapsed="false">
      <c r="A263" s="12"/>
      <c r="B263" s="12"/>
      <c r="C263" s="12"/>
      <c r="D263" s="12"/>
      <c r="E263" s="12"/>
      <c r="F263" s="12"/>
      <c r="G263" s="12"/>
      <c r="H263" s="12"/>
      <c r="I263" s="12"/>
      <c r="J263" s="12"/>
      <c r="K263" s="12"/>
      <c r="L263" s="12"/>
      <c r="M263" s="12"/>
      <c r="N263" s="12"/>
    </row>
    <row r="264" customFormat="false" ht="15" hidden="false" customHeight="true" outlineLevel="0" collapsed="false">
      <c r="A264" s="12"/>
      <c r="B264" s="12"/>
      <c r="C264" s="12"/>
      <c r="D264" s="12"/>
      <c r="E264" s="12"/>
      <c r="F264" s="12"/>
      <c r="G264" s="12"/>
      <c r="H264" s="12"/>
      <c r="I264" s="12"/>
      <c r="J264" s="12"/>
      <c r="K264" s="12"/>
      <c r="L264" s="12"/>
      <c r="M264" s="12"/>
      <c r="N264" s="12"/>
    </row>
    <row r="265" customFormat="false" ht="15" hidden="false" customHeight="true" outlineLevel="0" collapsed="false">
      <c r="A265" s="12"/>
      <c r="B265" s="12"/>
      <c r="C265" s="12"/>
      <c r="D265" s="12"/>
      <c r="E265" s="12"/>
      <c r="F265" s="12"/>
      <c r="G265" s="12"/>
      <c r="H265" s="12"/>
      <c r="I265" s="12"/>
      <c r="J265" s="12"/>
      <c r="K265" s="12"/>
      <c r="L265" s="12"/>
      <c r="M265" s="12"/>
      <c r="N265" s="12"/>
    </row>
    <row r="266" customFormat="false" ht="15" hidden="false" customHeight="true" outlineLevel="0" collapsed="false">
      <c r="A266" s="12"/>
      <c r="B266" s="12"/>
      <c r="C266" s="12"/>
      <c r="D266" s="12"/>
      <c r="E266" s="12"/>
      <c r="F266" s="12"/>
      <c r="G266" s="12"/>
      <c r="H266" s="12"/>
      <c r="I266" s="12"/>
      <c r="J266" s="12"/>
      <c r="K266" s="12"/>
      <c r="L266" s="12"/>
      <c r="M266" s="12"/>
      <c r="N266" s="12"/>
    </row>
    <row r="267" customFormat="false" ht="15" hidden="false" customHeight="true" outlineLevel="0" collapsed="false">
      <c r="A267" s="12"/>
      <c r="B267" s="12"/>
      <c r="C267" s="12"/>
      <c r="D267" s="12"/>
      <c r="E267" s="12"/>
      <c r="F267" s="12"/>
      <c r="G267" s="12"/>
      <c r="H267" s="12"/>
      <c r="I267" s="12"/>
      <c r="J267" s="12"/>
      <c r="K267" s="12"/>
      <c r="L267" s="12"/>
      <c r="M267" s="12"/>
      <c r="N267" s="12"/>
    </row>
    <row r="268" customFormat="false" ht="15" hidden="false" customHeight="true" outlineLevel="0" collapsed="false">
      <c r="A268" s="12"/>
      <c r="B268" s="12"/>
      <c r="C268" s="12"/>
      <c r="D268" s="12"/>
      <c r="E268" s="12"/>
      <c r="F268" s="12"/>
      <c r="G268" s="12"/>
      <c r="H268" s="12"/>
      <c r="I268" s="12"/>
      <c r="J268" s="12"/>
      <c r="K268" s="12"/>
      <c r="L268" s="12"/>
      <c r="M268" s="12"/>
      <c r="N268" s="12"/>
    </row>
    <row r="269" customFormat="false" ht="15" hidden="false" customHeight="true" outlineLevel="0" collapsed="false">
      <c r="A269" s="12"/>
      <c r="B269" s="12"/>
      <c r="C269" s="12"/>
      <c r="D269" s="12"/>
      <c r="E269" s="12"/>
      <c r="F269" s="12"/>
      <c r="G269" s="12"/>
      <c r="H269" s="12"/>
      <c r="I269" s="12"/>
      <c r="J269" s="12"/>
      <c r="K269" s="12"/>
      <c r="L269" s="12"/>
      <c r="M269" s="12"/>
      <c r="N269" s="12"/>
    </row>
    <row r="270" customFormat="false" ht="15" hidden="false" customHeight="true" outlineLevel="0" collapsed="false">
      <c r="A270" s="12"/>
      <c r="B270" s="12"/>
      <c r="C270" s="12"/>
      <c r="D270" s="12"/>
      <c r="E270" s="12"/>
      <c r="F270" s="12"/>
      <c r="G270" s="12"/>
      <c r="H270" s="12"/>
      <c r="I270" s="12"/>
      <c r="J270" s="12"/>
      <c r="K270" s="12"/>
      <c r="L270" s="12"/>
      <c r="M270" s="12"/>
      <c r="N270" s="12"/>
    </row>
    <row r="271" customFormat="false" ht="15" hidden="false" customHeight="true" outlineLevel="0" collapsed="false">
      <c r="A271" s="12"/>
      <c r="B271" s="12"/>
      <c r="C271" s="12"/>
      <c r="D271" s="12"/>
      <c r="E271" s="12"/>
      <c r="F271" s="12"/>
      <c r="G271" s="12"/>
      <c r="H271" s="12"/>
      <c r="I271" s="12"/>
      <c r="J271" s="12"/>
      <c r="K271" s="12"/>
      <c r="L271" s="12"/>
      <c r="M271" s="12"/>
      <c r="N271" s="12"/>
    </row>
    <row r="272" customFormat="false" ht="15" hidden="false" customHeight="true" outlineLevel="0" collapsed="false">
      <c r="A272" s="12"/>
      <c r="B272" s="12"/>
      <c r="C272" s="12"/>
      <c r="D272" s="12"/>
      <c r="E272" s="12"/>
      <c r="F272" s="12"/>
      <c r="G272" s="12"/>
      <c r="H272" s="12"/>
      <c r="I272" s="12"/>
      <c r="J272" s="12"/>
      <c r="K272" s="12"/>
      <c r="L272" s="12"/>
      <c r="M272" s="12"/>
      <c r="N272" s="12"/>
    </row>
    <row r="273" customFormat="false" ht="15" hidden="false" customHeight="true" outlineLevel="0" collapsed="false">
      <c r="A273" s="12"/>
      <c r="B273" s="12"/>
      <c r="C273" s="12"/>
      <c r="D273" s="12"/>
      <c r="E273" s="12"/>
      <c r="F273" s="12"/>
      <c r="G273" s="12"/>
      <c r="H273" s="12"/>
      <c r="I273" s="12"/>
      <c r="J273" s="12"/>
      <c r="K273" s="12"/>
      <c r="L273" s="12"/>
      <c r="M273" s="12"/>
      <c r="N273" s="12"/>
    </row>
    <row r="274" customFormat="false" ht="15" hidden="false" customHeight="true" outlineLevel="0" collapsed="false">
      <c r="A274" s="12"/>
      <c r="B274" s="12"/>
      <c r="C274" s="12"/>
      <c r="D274" s="12"/>
      <c r="E274" s="12"/>
      <c r="F274" s="12"/>
      <c r="G274" s="12"/>
      <c r="H274" s="12"/>
      <c r="I274" s="12"/>
      <c r="J274" s="12"/>
      <c r="K274" s="12"/>
      <c r="L274" s="12"/>
      <c r="M274" s="12"/>
      <c r="N274" s="12"/>
    </row>
    <row r="275" customFormat="false" ht="15" hidden="false" customHeight="true" outlineLevel="0" collapsed="false">
      <c r="A275" s="12"/>
      <c r="B275" s="12"/>
      <c r="C275" s="12"/>
      <c r="D275" s="12"/>
      <c r="E275" s="12"/>
      <c r="F275" s="12"/>
      <c r="G275" s="12"/>
      <c r="H275" s="12"/>
      <c r="I275" s="12"/>
      <c r="J275" s="12"/>
      <c r="K275" s="12"/>
      <c r="L275" s="12"/>
      <c r="M275" s="12"/>
      <c r="N275" s="12"/>
    </row>
    <row r="276" customFormat="false" ht="15" hidden="false" customHeight="true" outlineLevel="0" collapsed="false">
      <c r="A276" s="12"/>
      <c r="B276" s="12"/>
      <c r="C276" s="12"/>
      <c r="D276" s="12"/>
      <c r="E276" s="12"/>
      <c r="F276" s="12"/>
      <c r="G276" s="12"/>
      <c r="H276" s="12"/>
      <c r="I276" s="12"/>
      <c r="J276" s="12"/>
      <c r="K276" s="12"/>
      <c r="L276" s="12"/>
      <c r="M276" s="12"/>
      <c r="N276" s="12"/>
    </row>
    <row r="277" customFormat="false" ht="15" hidden="false" customHeight="true" outlineLevel="0" collapsed="false">
      <c r="A277" s="12"/>
      <c r="B277" s="12"/>
      <c r="C277" s="12"/>
      <c r="D277" s="12"/>
      <c r="E277" s="12"/>
      <c r="F277" s="12"/>
      <c r="G277" s="12"/>
      <c r="H277" s="12"/>
      <c r="I277" s="12"/>
      <c r="J277" s="12"/>
      <c r="K277" s="12"/>
      <c r="L277" s="12"/>
      <c r="M277" s="12"/>
      <c r="N277" s="12"/>
    </row>
    <row r="278" customFormat="false" ht="15" hidden="false" customHeight="true" outlineLevel="0" collapsed="false">
      <c r="A278" s="12"/>
      <c r="B278" s="12"/>
      <c r="C278" s="12"/>
      <c r="D278" s="12"/>
      <c r="E278" s="12"/>
      <c r="F278" s="12"/>
      <c r="G278" s="12"/>
      <c r="H278" s="12"/>
      <c r="I278" s="12"/>
      <c r="J278" s="12"/>
      <c r="K278" s="12"/>
      <c r="L278" s="12"/>
      <c r="M278" s="12"/>
      <c r="N278" s="12"/>
    </row>
    <row r="279" customFormat="false" ht="15" hidden="false" customHeight="true" outlineLevel="0" collapsed="false">
      <c r="A279" s="12"/>
      <c r="B279" s="12"/>
      <c r="C279" s="12"/>
      <c r="D279" s="12"/>
      <c r="E279" s="12"/>
      <c r="F279" s="12"/>
      <c r="G279" s="12"/>
      <c r="H279" s="12"/>
      <c r="I279" s="12"/>
      <c r="J279" s="12"/>
      <c r="K279" s="12"/>
      <c r="L279" s="12"/>
      <c r="M279" s="12"/>
      <c r="N279" s="12"/>
    </row>
    <row r="280" customFormat="false" ht="15" hidden="false" customHeight="true" outlineLevel="0" collapsed="false">
      <c r="A280" s="12"/>
      <c r="B280" s="12"/>
      <c r="C280" s="12"/>
      <c r="D280" s="12"/>
      <c r="E280" s="12"/>
      <c r="F280" s="12"/>
      <c r="G280" s="12"/>
      <c r="H280" s="12"/>
      <c r="I280" s="12"/>
      <c r="J280" s="12"/>
      <c r="K280" s="12"/>
      <c r="L280" s="12"/>
      <c r="M280" s="12"/>
      <c r="N280" s="12"/>
    </row>
    <row r="281" customFormat="false" ht="15" hidden="false" customHeight="true" outlineLevel="0" collapsed="false">
      <c r="A281" s="12"/>
      <c r="B281" s="12"/>
      <c r="C281" s="12"/>
      <c r="D281" s="12"/>
      <c r="E281" s="12"/>
      <c r="F281" s="12"/>
      <c r="G281" s="12"/>
      <c r="H281" s="12"/>
      <c r="I281" s="12"/>
      <c r="J281" s="12"/>
      <c r="K281" s="12"/>
      <c r="L281" s="12"/>
      <c r="M281" s="12"/>
      <c r="N281" s="12"/>
    </row>
    <row r="282" customFormat="false" ht="15" hidden="false" customHeight="true" outlineLevel="0" collapsed="false">
      <c r="A282" s="12"/>
      <c r="B282" s="12"/>
      <c r="C282" s="12"/>
      <c r="D282" s="12"/>
      <c r="E282" s="12"/>
      <c r="F282" s="12"/>
      <c r="G282" s="12"/>
      <c r="H282" s="12"/>
      <c r="I282" s="12"/>
      <c r="J282" s="12"/>
      <c r="K282" s="12"/>
      <c r="L282" s="12"/>
      <c r="M282" s="12"/>
      <c r="N282" s="12"/>
    </row>
    <row r="283" customFormat="false" ht="15" hidden="false" customHeight="true" outlineLevel="0" collapsed="false">
      <c r="A283" s="12"/>
      <c r="B283" s="12"/>
      <c r="C283" s="12"/>
      <c r="D283" s="12"/>
      <c r="E283" s="12"/>
      <c r="F283" s="12"/>
      <c r="G283" s="12"/>
      <c r="H283" s="12"/>
      <c r="I283" s="12"/>
      <c r="J283" s="12"/>
      <c r="K283" s="12"/>
      <c r="L283" s="12"/>
      <c r="M283" s="12"/>
      <c r="N283" s="12"/>
    </row>
    <row r="284" customFormat="false" ht="15" hidden="false" customHeight="true" outlineLevel="0" collapsed="false">
      <c r="A284" s="12"/>
      <c r="B284" s="12"/>
      <c r="C284" s="12"/>
      <c r="D284" s="12"/>
      <c r="E284" s="12"/>
      <c r="F284" s="12"/>
      <c r="G284" s="12"/>
      <c r="H284" s="12"/>
      <c r="I284" s="12"/>
      <c r="J284" s="12"/>
      <c r="K284" s="12"/>
      <c r="L284" s="12"/>
      <c r="M284" s="12"/>
      <c r="N284" s="12"/>
    </row>
    <row r="285" customFormat="false" ht="15" hidden="false" customHeight="true" outlineLevel="0" collapsed="false">
      <c r="A285" s="12"/>
      <c r="B285" s="12"/>
      <c r="C285" s="12"/>
      <c r="D285" s="12"/>
      <c r="E285" s="12"/>
      <c r="F285" s="12"/>
      <c r="G285" s="12"/>
      <c r="H285" s="12"/>
      <c r="I285" s="12"/>
      <c r="J285" s="12"/>
      <c r="K285" s="12"/>
      <c r="L285" s="12"/>
      <c r="M285" s="12"/>
      <c r="N285" s="12"/>
    </row>
    <row r="286" customFormat="false" ht="15" hidden="false" customHeight="true" outlineLevel="0" collapsed="false">
      <c r="A286" s="12"/>
      <c r="B286" s="12"/>
      <c r="C286" s="12"/>
      <c r="D286" s="12"/>
      <c r="E286" s="12"/>
      <c r="F286" s="12"/>
      <c r="G286" s="12"/>
      <c r="H286" s="12"/>
      <c r="I286" s="12"/>
      <c r="J286" s="12"/>
      <c r="K286" s="12"/>
      <c r="L286" s="12"/>
      <c r="M286" s="12"/>
      <c r="N286" s="12"/>
    </row>
    <row r="287" customFormat="false" ht="15" hidden="false" customHeight="true" outlineLevel="0" collapsed="false">
      <c r="A287" s="12"/>
      <c r="B287" s="12"/>
      <c r="C287" s="12"/>
      <c r="D287" s="12"/>
      <c r="E287" s="12"/>
      <c r="F287" s="12"/>
      <c r="G287" s="12"/>
      <c r="H287" s="12"/>
      <c r="I287" s="12"/>
      <c r="J287" s="12"/>
      <c r="K287" s="12"/>
      <c r="L287" s="12"/>
      <c r="M287" s="12"/>
      <c r="N287" s="12"/>
    </row>
    <row r="288" customFormat="false" ht="15" hidden="false" customHeight="true" outlineLevel="0" collapsed="false">
      <c r="A288" s="12"/>
      <c r="B288" s="12"/>
      <c r="C288" s="12"/>
      <c r="D288" s="12"/>
      <c r="E288" s="12"/>
      <c r="F288" s="12"/>
      <c r="G288" s="12"/>
      <c r="H288" s="12"/>
      <c r="I288" s="12"/>
      <c r="J288" s="12"/>
      <c r="K288" s="12"/>
      <c r="L288" s="12"/>
      <c r="M288" s="12"/>
      <c r="N288" s="12"/>
    </row>
    <row r="289" customFormat="false" ht="15" hidden="false" customHeight="true" outlineLevel="0" collapsed="false">
      <c r="A289" s="12"/>
      <c r="B289" s="12"/>
      <c r="C289" s="12"/>
      <c r="D289" s="12"/>
      <c r="E289" s="12"/>
      <c r="F289" s="12"/>
      <c r="G289" s="12"/>
      <c r="H289" s="12"/>
      <c r="I289" s="12"/>
      <c r="J289" s="12"/>
      <c r="K289" s="12"/>
      <c r="L289" s="12"/>
      <c r="M289" s="12"/>
      <c r="N289" s="12"/>
    </row>
    <row r="290" customFormat="false" ht="15" hidden="false" customHeight="true" outlineLevel="0" collapsed="false">
      <c r="A290" s="12"/>
      <c r="B290" s="12"/>
      <c r="C290" s="12"/>
      <c r="D290" s="12"/>
      <c r="E290" s="12"/>
      <c r="F290" s="12"/>
      <c r="G290" s="12"/>
      <c r="H290" s="12"/>
      <c r="I290" s="12"/>
      <c r="J290" s="12"/>
      <c r="K290" s="12"/>
      <c r="L290" s="12"/>
      <c r="M290" s="12"/>
      <c r="N290" s="12"/>
    </row>
    <row r="291" customFormat="false" ht="15" hidden="false" customHeight="true" outlineLevel="0" collapsed="false">
      <c r="A291" s="12"/>
      <c r="B291" s="12"/>
      <c r="C291" s="12"/>
      <c r="D291" s="12"/>
      <c r="E291" s="12"/>
      <c r="F291" s="12"/>
      <c r="G291" s="12"/>
      <c r="H291" s="12"/>
      <c r="I291" s="12"/>
      <c r="J291" s="12"/>
      <c r="K291" s="12"/>
      <c r="L291" s="12"/>
      <c r="M291" s="12"/>
      <c r="N291" s="12"/>
    </row>
    <row r="292" customFormat="false" ht="15" hidden="false" customHeight="true" outlineLevel="0" collapsed="false">
      <c r="A292" s="12"/>
      <c r="B292" s="12"/>
      <c r="C292" s="12"/>
      <c r="D292" s="12"/>
      <c r="E292" s="12"/>
      <c r="F292" s="12"/>
      <c r="G292" s="12"/>
      <c r="H292" s="12"/>
      <c r="I292" s="12"/>
      <c r="J292" s="12"/>
      <c r="K292" s="12"/>
      <c r="L292" s="12"/>
      <c r="M292" s="12"/>
      <c r="N292" s="12"/>
    </row>
    <row r="293" customFormat="false" ht="15" hidden="false" customHeight="true" outlineLevel="0" collapsed="false">
      <c r="A293" s="12"/>
      <c r="B293" s="12"/>
      <c r="C293" s="12"/>
      <c r="D293" s="12"/>
      <c r="E293" s="12"/>
      <c r="F293" s="12"/>
      <c r="G293" s="12"/>
      <c r="H293" s="12"/>
      <c r="I293" s="12"/>
      <c r="J293" s="12"/>
      <c r="K293" s="12"/>
      <c r="L293" s="12"/>
      <c r="M293" s="12"/>
      <c r="N293" s="12"/>
    </row>
    <row r="294" customFormat="false" ht="15" hidden="false" customHeight="true" outlineLevel="0" collapsed="false">
      <c r="A294" s="12"/>
      <c r="B294" s="12"/>
      <c r="C294" s="12"/>
      <c r="D294" s="12"/>
      <c r="E294" s="12"/>
      <c r="F294" s="12"/>
      <c r="G294" s="12"/>
      <c r="H294" s="12"/>
      <c r="I294" s="12"/>
      <c r="J294" s="12"/>
      <c r="K294" s="12"/>
      <c r="L294" s="12"/>
      <c r="M294" s="12"/>
      <c r="N294" s="12"/>
    </row>
    <row r="295" customFormat="false" ht="15" hidden="false" customHeight="true" outlineLevel="0" collapsed="false">
      <c r="A295" s="12"/>
      <c r="B295" s="12"/>
      <c r="C295" s="12"/>
      <c r="D295" s="12"/>
      <c r="E295" s="12"/>
      <c r="F295" s="12"/>
      <c r="G295" s="12"/>
      <c r="H295" s="12"/>
      <c r="I295" s="12"/>
      <c r="J295" s="12"/>
      <c r="K295" s="12"/>
      <c r="L295" s="12"/>
      <c r="M295" s="12"/>
      <c r="N295" s="12"/>
    </row>
    <row r="296" customFormat="false" ht="15" hidden="false" customHeight="true" outlineLevel="0" collapsed="false">
      <c r="A296" s="12"/>
      <c r="B296" s="12"/>
      <c r="C296" s="12"/>
      <c r="D296" s="12"/>
      <c r="E296" s="12"/>
      <c r="F296" s="12"/>
      <c r="G296" s="12"/>
      <c r="H296" s="12"/>
      <c r="I296" s="12"/>
      <c r="J296" s="12"/>
      <c r="K296" s="12"/>
      <c r="L296" s="12"/>
      <c r="M296" s="12"/>
      <c r="N296" s="12"/>
    </row>
    <row r="297" customFormat="false" ht="15" hidden="false" customHeight="true" outlineLevel="0" collapsed="false">
      <c r="A297" s="12"/>
      <c r="B297" s="12"/>
      <c r="C297" s="12"/>
      <c r="D297" s="12"/>
      <c r="E297" s="12"/>
      <c r="F297" s="12"/>
      <c r="G297" s="12"/>
      <c r="H297" s="12"/>
      <c r="I297" s="12"/>
      <c r="J297" s="12"/>
      <c r="K297" s="12"/>
      <c r="L297" s="12"/>
      <c r="M297" s="12"/>
      <c r="N297" s="12"/>
    </row>
    <row r="298" customFormat="false" ht="15" hidden="false" customHeight="true" outlineLevel="0" collapsed="false">
      <c r="A298" s="12"/>
      <c r="B298" s="12"/>
      <c r="C298" s="12"/>
      <c r="D298" s="12"/>
      <c r="E298" s="12"/>
      <c r="F298" s="12"/>
      <c r="G298" s="12"/>
      <c r="H298" s="12"/>
      <c r="I298" s="12"/>
      <c r="J298" s="12"/>
      <c r="K298" s="12"/>
      <c r="L298" s="12"/>
      <c r="M298" s="12"/>
      <c r="N298" s="12"/>
    </row>
    <row r="299" customFormat="false" ht="15" hidden="false" customHeight="true" outlineLevel="0" collapsed="false">
      <c r="A299" s="12"/>
      <c r="B299" s="12"/>
      <c r="C299" s="12"/>
      <c r="D299" s="12"/>
      <c r="E299" s="12"/>
      <c r="F299" s="12"/>
      <c r="G299" s="12"/>
      <c r="H299" s="12"/>
      <c r="I299" s="12"/>
      <c r="J299" s="12"/>
      <c r="K299" s="12"/>
      <c r="L299" s="12"/>
      <c r="M299" s="12"/>
      <c r="N299" s="12"/>
    </row>
    <row r="300" customFormat="false" ht="15" hidden="false" customHeight="true" outlineLevel="0" collapsed="false">
      <c r="A300" s="12"/>
      <c r="B300" s="12"/>
      <c r="C300" s="12"/>
      <c r="D300" s="12"/>
      <c r="E300" s="12"/>
      <c r="F300" s="12"/>
      <c r="G300" s="12"/>
      <c r="H300" s="12"/>
      <c r="I300" s="12"/>
      <c r="J300" s="12"/>
      <c r="K300" s="12"/>
      <c r="L300" s="12"/>
      <c r="M300" s="12"/>
      <c r="N300" s="12"/>
    </row>
    <row r="301" customFormat="false" ht="15" hidden="false" customHeight="true" outlineLevel="0" collapsed="false">
      <c r="A301" s="12"/>
      <c r="B301" s="12"/>
      <c r="C301" s="12"/>
      <c r="D301" s="12"/>
      <c r="E301" s="12"/>
      <c r="F301" s="12"/>
      <c r="G301" s="12"/>
      <c r="H301" s="12"/>
      <c r="I301" s="12"/>
      <c r="J301" s="12"/>
      <c r="K301" s="12"/>
      <c r="L301" s="12"/>
      <c r="M301" s="12"/>
      <c r="N301" s="12"/>
    </row>
    <row r="302" customFormat="false" ht="15" hidden="false" customHeight="true" outlineLevel="0" collapsed="false">
      <c r="A302" s="12"/>
      <c r="B302" s="12"/>
      <c r="C302" s="12"/>
      <c r="D302" s="12"/>
      <c r="E302" s="12"/>
      <c r="F302" s="12"/>
      <c r="G302" s="12"/>
      <c r="H302" s="12"/>
      <c r="I302" s="12"/>
      <c r="J302" s="12"/>
      <c r="K302" s="12"/>
      <c r="L302" s="12"/>
      <c r="M302" s="12"/>
      <c r="N302" s="12"/>
    </row>
    <row r="303" customFormat="false" ht="15" hidden="false" customHeight="true" outlineLevel="0" collapsed="false">
      <c r="A303" s="12"/>
      <c r="B303" s="12"/>
      <c r="C303" s="12"/>
      <c r="D303" s="12"/>
      <c r="E303" s="12"/>
      <c r="F303" s="12"/>
      <c r="G303" s="12"/>
      <c r="H303" s="12"/>
      <c r="I303" s="12"/>
      <c r="J303" s="12"/>
      <c r="K303" s="12"/>
      <c r="L303" s="12"/>
      <c r="M303" s="12"/>
      <c r="N303" s="12"/>
    </row>
    <row r="304" customFormat="false" ht="15" hidden="false" customHeight="true" outlineLevel="0" collapsed="false">
      <c r="A304" s="12"/>
      <c r="B304" s="12"/>
      <c r="C304" s="12"/>
      <c r="D304" s="12"/>
      <c r="E304" s="12"/>
      <c r="F304" s="12"/>
      <c r="G304" s="12"/>
      <c r="H304" s="12"/>
      <c r="I304" s="12"/>
      <c r="J304" s="12"/>
      <c r="K304" s="12"/>
      <c r="L304" s="12"/>
      <c r="M304" s="12"/>
      <c r="N304" s="12"/>
    </row>
    <row r="305" customFormat="false" ht="15" hidden="false" customHeight="true" outlineLevel="0" collapsed="false">
      <c r="A305" s="12"/>
      <c r="B305" s="12"/>
      <c r="C305" s="12"/>
      <c r="D305" s="12"/>
      <c r="E305" s="12"/>
      <c r="F305" s="12"/>
      <c r="G305" s="12"/>
      <c r="H305" s="12"/>
      <c r="I305" s="12"/>
      <c r="J305" s="12"/>
      <c r="K305" s="12"/>
      <c r="L305" s="12"/>
      <c r="M305" s="12"/>
      <c r="N305" s="12"/>
    </row>
    <row r="306" customFormat="false" ht="15" hidden="false" customHeight="true" outlineLevel="0" collapsed="false">
      <c r="A306" s="12"/>
      <c r="B306" s="12"/>
      <c r="C306" s="12"/>
      <c r="D306" s="12"/>
      <c r="E306" s="12"/>
      <c r="F306" s="12"/>
      <c r="G306" s="12"/>
      <c r="H306" s="12"/>
      <c r="I306" s="12"/>
      <c r="J306" s="12"/>
      <c r="K306" s="12"/>
      <c r="L306" s="12"/>
      <c r="M306" s="12"/>
      <c r="N306" s="12"/>
    </row>
    <row r="307" customFormat="false" ht="15" hidden="false" customHeight="true" outlineLevel="0" collapsed="false">
      <c r="A307" s="12"/>
      <c r="B307" s="12"/>
      <c r="C307" s="12"/>
      <c r="D307" s="12"/>
      <c r="E307" s="12"/>
      <c r="F307" s="12"/>
      <c r="G307" s="12"/>
      <c r="H307" s="12"/>
      <c r="I307" s="12"/>
      <c r="J307" s="12"/>
      <c r="K307" s="12"/>
      <c r="L307" s="12"/>
      <c r="M307" s="12"/>
      <c r="N307" s="12"/>
    </row>
    <row r="308" customFormat="false" ht="15" hidden="false" customHeight="true" outlineLevel="0" collapsed="false">
      <c r="A308" s="12"/>
      <c r="B308" s="12"/>
      <c r="C308" s="12"/>
      <c r="D308" s="12"/>
      <c r="E308" s="12"/>
      <c r="F308" s="12"/>
      <c r="G308" s="12"/>
      <c r="H308" s="12"/>
      <c r="I308" s="12"/>
      <c r="J308" s="12"/>
      <c r="K308" s="12"/>
      <c r="L308" s="12"/>
      <c r="M308" s="12"/>
      <c r="N308" s="12"/>
    </row>
    <row r="309" customFormat="false" ht="15" hidden="false" customHeight="true" outlineLevel="0" collapsed="false">
      <c r="A309" s="12"/>
      <c r="B309" s="12"/>
      <c r="C309" s="12"/>
      <c r="D309" s="12"/>
      <c r="E309" s="12"/>
      <c r="F309" s="12"/>
      <c r="G309" s="12"/>
      <c r="H309" s="12"/>
      <c r="I309" s="12"/>
      <c r="J309" s="12"/>
      <c r="K309" s="12"/>
      <c r="L309" s="12"/>
      <c r="M309" s="12"/>
      <c r="N309" s="12"/>
    </row>
    <row r="310" customFormat="false" ht="15" hidden="false" customHeight="true" outlineLevel="0" collapsed="false">
      <c r="A310" s="12"/>
      <c r="B310" s="12"/>
      <c r="C310" s="12"/>
      <c r="D310" s="12"/>
      <c r="E310" s="12"/>
      <c r="F310" s="12"/>
      <c r="G310" s="12"/>
      <c r="H310" s="12"/>
      <c r="I310" s="12"/>
      <c r="J310" s="12"/>
      <c r="K310" s="12"/>
      <c r="L310" s="12"/>
      <c r="M310" s="12"/>
      <c r="N310" s="12"/>
    </row>
    <row r="311" customFormat="false" ht="15" hidden="false" customHeight="true" outlineLevel="0" collapsed="false">
      <c r="A311" s="12"/>
      <c r="B311" s="12"/>
      <c r="C311" s="12"/>
      <c r="D311" s="12"/>
      <c r="E311" s="12"/>
      <c r="F311" s="12"/>
      <c r="G311" s="12"/>
      <c r="H311" s="12"/>
      <c r="I311" s="12"/>
      <c r="J311" s="12"/>
      <c r="K311" s="12"/>
      <c r="L311" s="12"/>
      <c r="M311" s="12"/>
      <c r="N311" s="12"/>
    </row>
    <row r="312" customFormat="false" ht="15" hidden="false" customHeight="true" outlineLevel="0" collapsed="false">
      <c r="A312" s="12"/>
      <c r="B312" s="12"/>
      <c r="C312" s="12"/>
      <c r="D312" s="12"/>
      <c r="E312" s="12"/>
      <c r="F312" s="12"/>
      <c r="G312" s="12"/>
      <c r="H312" s="12"/>
      <c r="I312" s="12"/>
      <c r="J312" s="12"/>
      <c r="K312" s="12"/>
      <c r="L312" s="12"/>
      <c r="M312" s="12"/>
      <c r="N312" s="12"/>
    </row>
    <row r="313" customFormat="false" ht="15" hidden="false" customHeight="true" outlineLevel="0" collapsed="false">
      <c r="A313" s="12"/>
      <c r="B313" s="12"/>
      <c r="C313" s="12"/>
      <c r="D313" s="12"/>
      <c r="E313" s="12"/>
      <c r="F313" s="12"/>
      <c r="G313" s="12"/>
      <c r="H313" s="12"/>
      <c r="I313" s="12"/>
      <c r="J313" s="12"/>
      <c r="K313" s="12"/>
      <c r="L313" s="12"/>
      <c r="M313" s="12"/>
      <c r="N313" s="12"/>
    </row>
    <row r="314" customFormat="false" ht="15" hidden="false" customHeight="true" outlineLevel="0" collapsed="false">
      <c r="A314" s="12"/>
      <c r="B314" s="12"/>
      <c r="C314" s="12"/>
      <c r="D314" s="12"/>
      <c r="E314" s="12"/>
      <c r="F314" s="12"/>
      <c r="G314" s="12"/>
      <c r="H314" s="12"/>
      <c r="I314" s="12"/>
      <c r="J314" s="12"/>
      <c r="K314" s="12"/>
      <c r="L314" s="12"/>
      <c r="M314" s="12"/>
      <c r="N314" s="12"/>
    </row>
    <row r="315" customFormat="false" ht="15" hidden="false" customHeight="true" outlineLevel="0" collapsed="false">
      <c r="A315" s="12"/>
      <c r="B315" s="12"/>
      <c r="C315" s="12"/>
      <c r="D315" s="12"/>
      <c r="E315" s="12"/>
      <c r="F315" s="12"/>
      <c r="G315" s="12"/>
      <c r="H315" s="12"/>
      <c r="I315" s="12"/>
      <c r="J315" s="12"/>
      <c r="K315" s="12"/>
      <c r="L315" s="12"/>
      <c r="M315" s="12"/>
      <c r="N315" s="12"/>
    </row>
    <row r="316" customFormat="false" ht="15" hidden="false" customHeight="true" outlineLevel="0" collapsed="false">
      <c r="A316" s="12"/>
      <c r="B316" s="12"/>
      <c r="C316" s="12"/>
      <c r="D316" s="12"/>
      <c r="E316" s="12"/>
      <c r="F316" s="12"/>
      <c r="G316" s="12"/>
      <c r="H316" s="12"/>
      <c r="I316" s="12"/>
      <c r="J316" s="12"/>
      <c r="K316" s="12"/>
      <c r="L316" s="12"/>
      <c r="M316" s="12"/>
      <c r="N316" s="12"/>
    </row>
    <row r="317" customFormat="false" ht="15" hidden="false" customHeight="true" outlineLevel="0" collapsed="false">
      <c r="A317" s="12"/>
      <c r="B317" s="12"/>
      <c r="C317" s="12"/>
      <c r="D317" s="12"/>
      <c r="E317" s="12"/>
      <c r="F317" s="12"/>
      <c r="G317" s="12"/>
      <c r="H317" s="12"/>
      <c r="I317" s="12"/>
      <c r="J317" s="12"/>
      <c r="K317" s="12"/>
      <c r="L317" s="12"/>
      <c r="M317" s="12"/>
      <c r="N317" s="12"/>
    </row>
    <row r="318" customFormat="false" ht="15" hidden="false" customHeight="true" outlineLevel="0" collapsed="false">
      <c r="A318" s="12"/>
      <c r="B318" s="12"/>
      <c r="C318" s="12"/>
      <c r="D318" s="12"/>
      <c r="E318" s="12"/>
      <c r="F318" s="12"/>
      <c r="G318" s="12"/>
      <c r="H318" s="12"/>
      <c r="I318" s="12"/>
      <c r="J318" s="12"/>
      <c r="K318" s="12"/>
      <c r="L318" s="12"/>
      <c r="M318" s="12"/>
      <c r="N318" s="12"/>
    </row>
    <row r="319" customFormat="false" ht="15" hidden="false" customHeight="true" outlineLevel="0" collapsed="false">
      <c r="A319" s="12"/>
      <c r="B319" s="12"/>
      <c r="C319" s="12"/>
      <c r="D319" s="12"/>
      <c r="E319" s="12"/>
      <c r="F319" s="12"/>
      <c r="G319" s="12"/>
      <c r="H319" s="12"/>
      <c r="I319" s="12"/>
      <c r="J319" s="12"/>
      <c r="K319" s="12"/>
      <c r="L319" s="12"/>
      <c r="M319" s="12"/>
      <c r="N319" s="12"/>
    </row>
    <row r="320" customFormat="false" ht="15" hidden="false" customHeight="true" outlineLevel="0" collapsed="false">
      <c r="A320" s="12"/>
      <c r="B320" s="12"/>
      <c r="C320" s="12"/>
      <c r="D320" s="12"/>
      <c r="E320" s="12"/>
      <c r="F320" s="12"/>
      <c r="G320" s="12"/>
      <c r="H320" s="12"/>
      <c r="I320" s="12"/>
      <c r="J320" s="12"/>
      <c r="K320" s="12"/>
      <c r="L320" s="12"/>
      <c r="M320" s="12"/>
      <c r="N320" s="12"/>
    </row>
    <row r="321" customFormat="false" ht="15" hidden="false" customHeight="true" outlineLevel="0" collapsed="false">
      <c r="A321" s="12"/>
      <c r="B321" s="12"/>
      <c r="C321" s="12"/>
      <c r="D321" s="12"/>
      <c r="E321" s="12"/>
      <c r="F321" s="12"/>
      <c r="G321" s="12"/>
      <c r="H321" s="12"/>
      <c r="I321" s="12"/>
      <c r="J321" s="12"/>
      <c r="K321" s="12"/>
      <c r="L321" s="12"/>
      <c r="M321" s="12"/>
      <c r="N321" s="12"/>
    </row>
    <row r="322" customFormat="false" ht="15" hidden="false" customHeight="true" outlineLevel="0" collapsed="false">
      <c r="A322" s="12"/>
      <c r="B322" s="12"/>
      <c r="C322" s="12"/>
      <c r="D322" s="12"/>
      <c r="E322" s="12"/>
      <c r="F322" s="12"/>
      <c r="G322" s="12"/>
      <c r="H322" s="12"/>
      <c r="I322" s="12"/>
      <c r="J322" s="12"/>
      <c r="K322" s="12"/>
      <c r="L322" s="12"/>
      <c r="M322" s="12"/>
      <c r="N322" s="12"/>
    </row>
    <row r="323" customFormat="false" ht="15" hidden="false" customHeight="true" outlineLevel="0" collapsed="false">
      <c r="A323" s="12"/>
      <c r="B323" s="12"/>
      <c r="C323" s="12"/>
      <c r="D323" s="12"/>
      <c r="E323" s="12"/>
      <c r="F323" s="12"/>
      <c r="G323" s="12"/>
      <c r="H323" s="12"/>
      <c r="I323" s="12"/>
      <c r="J323" s="12"/>
      <c r="K323" s="12"/>
      <c r="L323" s="12"/>
      <c r="M323" s="12"/>
      <c r="N323" s="12"/>
    </row>
    <row r="324" customFormat="false" ht="15" hidden="false" customHeight="true" outlineLevel="0" collapsed="false">
      <c r="A324" s="12"/>
      <c r="B324" s="12"/>
      <c r="C324" s="12"/>
      <c r="D324" s="12"/>
      <c r="E324" s="12"/>
      <c r="F324" s="12"/>
      <c r="G324" s="12"/>
      <c r="H324" s="12"/>
      <c r="I324" s="12"/>
      <c r="J324" s="12"/>
      <c r="K324" s="12"/>
      <c r="L324" s="12"/>
      <c r="M324" s="12"/>
      <c r="N324" s="12"/>
    </row>
    <row r="325" customFormat="false" ht="15" hidden="false" customHeight="true" outlineLevel="0" collapsed="false">
      <c r="A325" s="12"/>
      <c r="B325" s="12"/>
      <c r="C325" s="12"/>
      <c r="D325" s="12"/>
      <c r="E325" s="12"/>
      <c r="F325" s="12"/>
      <c r="G325" s="12"/>
      <c r="H325" s="12"/>
      <c r="I325" s="12"/>
      <c r="J325" s="12"/>
      <c r="K325" s="12"/>
      <c r="L325" s="12"/>
      <c r="M325" s="12"/>
      <c r="N325" s="12"/>
    </row>
    <row r="326" customFormat="false" ht="15" hidden="false" customHeight="true" outlineLevel="0" collapsed="false">
      <c r="A326" s="12"/>
      <c r="B326" s="12"/>
      <c r="C326" s="12"/>
      <c r="D326" s="12"/>
      <c r="E326" s="12"/>
      <c r="F326" s="12"/>
      <c r="G326" s="12"/>
      <c r="H326" s="12"/>
      <c r="I326" s="12"/>
      <c r="J326" s="12"/>
      <c r="K326" s="12"/>
      <c r="L326" s="12"/>
      <c r="M326" s="12"/>
      <c r="N326" s="12"/>
    </row>
    <row r="327" customFormat="false" ht="15" hidden="false" customHeight="true" outlineLevel="0" collapsed="false">
      <c r="A327" s="12"/>
      <c r="B327" s="12"/>
      <c r="C327" s="12"/>
      <c r="D327" s="12"/>
      <c r="E327" s="12"/>
      <c r="F327" s="12"/>
      <c r="G327" s="12"/>
      <c r="H327" s="12"/>
      <c r="I327" s="12"/>
      <c r="J327" s="12"/>
      <c r="K327" s="12"/>
      <c r="L327" s="12"/>
      <c r="M327" s="12"/>
      <c r="N327" s="12"/>
    </row>
    <row r="328" customFormat="false" ht="15" hidden="false" customHeight="true" outlineLevel="0" collapsed="false">
      <c r="A328" s="12"/>
      <c r="B328" s="12"/>
      <c r="C328" s="12"/>
      <c r="D328" s="12"/>
      <c r="E328" s="12"/>
      <c r="F328" s="12"/>
      <c r="G328" s="12"/>
      <c r="H328" s="12"/>
      <c r="I328" s="12"/>
      <c r="J328" s="12"/>
      <c r="K328" s="12"/>
      <c r="L328" s="12"/>
      <c r="M328" s="12"/>
      <c r="N328" s="12"/>
    </row>
    <row r="329" customFormat="false" ht="15" hidden="false" customHeight="true" outlineLevel="0" collapsed="false">
      <c r="A329" s="12"/>
      <c r="B329" s="12"/>
      <c r="C329" s="12"/>
      <c r="D329" s="12"/>
      <c r="E329" s="12"/>
      <c r="F329" s="12"/>
      <c r="G329" s="12"/>
      <c r="H329" s="12"/>
      <c r="I329" s="12"/>
      <c r="J329" s="12"/>
      <c r="K329" s="12"/>
      <c r="L329" s="12"/>
      <c r="M329" s="12"/>
      <c r="N329" s="12"/>
    </row>
    <row r="330" customFormat="false" ht="15" hidden="false" customHeight="true" outlineLevel="0" collapsed="false">
      <c r="A330" s="12"/>
      <c r="B330" s="12"/>
      <c r="C330" s="12"/>
      <c r="D330" s="12"/>
      <c r="E330" s="12"/>
      <c r="F330" s="12"/>
      <c r="G330" s="12"/>
      <c r="H330" s="12"/>
      <c r="I330" s="12"/>
      <c r="J330" s="12"/>
      <c r="K330" s="12"/>
      <c r="L330" s="12"/>
      <c r="M330" s="12"/>
      <c r="N330" s="12"/>
    </row>
    <row r="331" customFormat="false" ht="15" hidden="false" customHeight="true" outlineLevel="0" collapsed="false">
      <c r="A331" s="12"/>
      <c r="B331" s="12"/>
      <c r="C331" s="12"/>
      <c r="D331" s="12"/>
      <c r="E331" s="12"/>
      <c r="F331" s="12"/>
      <c r="G331" s="12"/>
      <c r="H331" s="12"/>
      <c r="I331" s="12"/>
      <c r="J331" s="12"/>
      <c r="K331" s="12"/>
      <c r="L331" s="12"/>
      <c r="M331" s="12"/>
      <c r="N331" s="12"/>
    </row>
    <row r="332" customFormat="false" ht="15" hidden="false" customHeight="true" outlineLevel="0" collapsed="false">
      <c r="A332" s="12"/>
      <c r="B332" s="12"/>
      <c r="C332" s="12"/>
      <c r="D332" s="12"/>
      <c r="E332" s="12"/>
      <c r="F332" s="12"/>
      <c r="G332" s="12"/>
      <c r="H332" s="12"/>
      <c r="I332" s="12"/>
      <c r="J332" s="12"/>
      <c r="K332" s="12"/>
      <c r="L332" s="12"/>
      <c r="M332" s="12"/>
      <c r="N332" s="12"/>
    </row>
    <row r="333" customFormat="false" ht="15" hidden="false" customHeight="true" outlineLevel="0" collapsed="false">
      <c r="A333" s="12"/>
      <c r="B333" s="12"/>
      <c r="C333" s="12"/>
      <c r="D333" s="12"/>
      <c r="E333" s="12"/>
      <c r="F333" s="12"/>
      <c r="G333" s="12"/>
      <c r="H333" s="12"/>
      <c r="I333" s="12"/>
      <c r="J333" s="12"/>
      <c r="K333" s="12"/>
      <c r="L333" s="12"/>
      <c r="M333" s="12"/>
      <c r="N333" s="12"/>
    </row>
    <row r="334" customFormat="false" ht="15" hidden="false" customHeight="true" outlineLevel="0" collapsed="false">
      <c r="A334" s="12"/>
      <c r="B334" s="12"/>
      <c r="C334" s="12"/>
      <c r="D334" s="12"/>
      <c r="E334" s="12"/>
      <c r="F334" s="12"/>
      <c r="G334" s="12"/>
      <c r="H334" s="12"/>
      <c r="I334" s="12"/>
      <c r="J334" s="12"/>
      <c r="K334" s="12"/>
      <c r="L334" s="12"/>
      <c r="M334" s="12"/>
      <c r="N334" s="12"/>
    </row>
    <row r="335" customFormat="false" ht="15" hidden="false" customHeight="true" outlineLevel="0" collapsed="false">
      <c r="A335" s="12"/>
      <c r="B335" s="12"/>
      <c r="C335" s="12"/>
      <c r="D335" s="12"/>
      <c r="E335" s="12"/>
      <c r="F335" s="12"/>
      <c r="G335" s="12"/>
      <c r="H335" s="12"/>
      <c r="I335" s="12"/>
      <c r="J335" s="12"/>
      <c r="K335" s="12"/>
      <c r="L335" s="12"/>
      <c r="M335" s="12"/>
      <c r="N335" s="12"/>
    </row>
    <row r="336" customFormat="false" ht="15" hidden="false" customHeight="true" outlineLevel="0" collapsed="false">
      <c r="A336" s="12"/>
      <c r="B336" s="12"/>
      <c r="C336" s="12"/>
      <c r="D336" s="12"/>
      <c r="E336" s="12"/>
      <c r="F336" s="12"/>
      <c r="G336" s="12"/>
      <c r="H336" s="12"/>
      <c r="I336" s="12"/>
      <c r="J336" s="12"/>
      <c r="K336" s="12"/>
      <c r="L336" s="12"/>
      <c r="M336" s="12"/>
      <c r="N336" s="12"/>
    </row>
    <row r="337" customFormat="false" ht="15" hidden="false" customHeight="true" outlineLevel="0" collapsed="false">
      <c r="A337" s="12"/>
      <c r="B337" s="12"/>
      <c r="C337" s="12"/>
      <c r="D337" s="12"/>
      <c r="E337" s="12"/>
      <c r="F337" s="12"/>
      <c r="G337" s="12"/>
      <c r="H337" s="12"/>
      <c r="I337" s="12"/>
      <c r="J337" s="12"/>
      <c r="K337" s="12"/>
      <c r="L337" s="12"/>
      <c r="M337" s="12"/>
      <c r="N337" s="12"/>
    </row>
    <row r="338" customFormat="false" ht="15" hidden="false" customHeight="true" outlineLevel="0" collapsed="false">
      <c r="A338" s="12"/>
      <c r="B338" s="12"/>
      <c r="C338" s="12"/>
      <c r="D338" s="12"/>
      <c r="E338" s="12"/>
      <c r="F338" s="12"/>
      <c r="G338" s="12"/>
      <c r="H338" s="12"/>
      <c r="I338" s="12"/>
      <c r="J338" s="12"/>
      <c r="K338" s="12"/>
      <c r="L338" s="12"/>
      <c r="M338" s="12"/>
      <c r="N338" s="12"/>
    </row>
    <row r="339" customFormat="false" ht="15" hidden="false" customHeight="true" outlineLevel="0" collapsed="false">
      <c r="A339" s="12"/>
      <c r="B339" s="12"/>
      <c r="C339" s="12"/>
      <c r="D339" s="12"/>
      <c r="E339" s="12"/>
      <c r="F339" s="12"/>
      <c r="G339" s="12"/>
      <c r="H339" s="12"/>
      <c r="I339" s="12"/>
      <c r="J339" s="12"/>
      <c r="K339" s="12"/>
      <c r="L339" s="12"/>
      <c r="M339" s="12"/>
      <c r="N339" s="12"/>
    </row>
    <row r="340" customFormat="false" ht="15" hidden="false" customHeight="true" outlineLevel="0" collapsed="false">
      <c r="A340" s="12"/>
      <c r="B340" s="12"/>
      <c r="C340" s="12"/>
      <c r="D340" s="12"/>
      <c r="E340" s="12"/>
      <c r="F340" s="12"/>
      <c r="G340" s="12"/>
      <c r="H340" s="12"/>
      <c r="I340" s="12"/>
      <c r="J340" s="12"/>
      <c r="K340" s="12"/>
      <c r="L340" s="12"/>
      <c r="M340" s="12"/>
      <c r="N340" s="12"/>
    </row>
    <row r="341" customFormat="false" ht="15" hidden="false" customHeight="true" outlineLevel="0" collapsed="false">
      <c r="A341" s="12"/>
      <c r="B341" s="12"/>
      <c r="C341" s="12"/>
      <c r="D341" s="12"/>
      <c r="E341" s="12"/>
      <c r="F341" s="12"/>
      <c r="G341" s="12"/>
      <c r="H341" s="12"/>
      <c r="I341" s="12"/>
      <c r="J341" s="12"/>
      <c r="K341" s="12"/>
      <c r="L341" s="12"/>
      <c r="M341" s="12"/>
      <c r="N341" s="12"/>
    </row>
    <row r="342" customFormat="false" ht="15" hidden="false" customHeight="true" outlineLevel="0" collapsed="false">
      <c r="A342" s="12"/>
      <c r="B342" s="12"/>
      <c r="C342" s="12"/>
      <c r="D342" s="12"/>
      <c r="E342" s="12"/>
      <c r="F342" s="12"/>
      <c r="G342" s="12"/>
      <c r="H342" s="12"/>
      <c r="I342" s="12"/>
      <c r="J342" s="12"/>
      <c r="K342" s="12"/>
      <c r="L342" s="12"/>
      <c r="M342" s="12"/>
      <c r="N342" s="12"/>
    </row>
    <row r="343" customFormat="false" ht="15" hidden="false" customHeight="true" outlineLevel="0" collapsed="false">
      <c r="A343" s="12"/>
      <c r="B343" s="12"/>
      <c r="C343" s="12"/>
      <c r="D343" s="12"/>
      <c r="E343" s="12"/>
      <c r="F343" s="12"/>
      <c r="G343" s="12"/>
      <c r="H343" s="12"/>
      <c r="I343" s="12"/>
      <c r="J343" s="12"/>
      <c r="K343" s="12"/>
      <c r="L343" s="12"/>
      <c r="M343" s="12"/>
      <c r="N343" s="12"/>
    </row>
    <row r="344" customFormat="false" ht="15" hidden="false" customHeight="true" outlineLevel="0" collapsed="false">
      <c r="A344" s="12"/>
      <c r="B344" s="12"/>
      <c r="C344" s="12"/>
      <c r="D344" s="12"/>
      <c r="E344" s="12"/>
      <c r="F344" s="12"/>
      <c r="G344" s="12"/>
      <c r="H344" s="12"/>
      <c r="I344" s="12"/>
      <c r="J344" s="12"/>
      <c r="K344" s="12"/>
      <c r="L344" s="12"/>
      <c r="M344" s="12"/>
      <c r="N344" s="12"/>
    </row>
    <row r="345" customFormat="false" ht="15" hidden="false" customHeight="true" outlineLevel="0" collapsed="false">
      <c r="A345" s="12"/>
      <c r="B345" s="12"/>
      <c r="C345" s="12"/>
      <c r="D345" s="12"/>
      <c r="E345" s="12"/>
      <c r="F345" s="12"/>
      <c r="G345" s="12"/>
      <c r="H345" s="12"/>
      <c r="I345" s="12"/>
      <c r="J345" s="12"/>
      <c r="K345" s="12"/>
      <c r="L345" s="12"/>
      <c r="M345" s="12"/>
      <c r="N345" s="12"/>
    </row>
    <row r="346" customFormat="false" ht="15" hidden="false" customHeight="true" outlineLevel="0" collapsed="false">
      <c r="A346" s="12"/>
      <c r="B346" s="12"/>
      <c r="C346" s="12"/>
      <c r="D346" s="12"/>
      <c r="E346" s="12"/>
      <c r="F346" s="12"/>
      <c r="G346" s="12"/>
      <c r="H346" s="12"/>
      <c r="I346" s="12"/>
      <c r="J346" s="12"/>
      <c r="K346" s="12"/>
      <c r="L346" s="12"/>
      <c r="M346" s="12"/>
      <c r="N346" s="12"/>
    </row>
    <row r="347" customFormat="false" ht="15" hidden="false" customHeight="true" outlineLevel="0" collapsed="false">
      <c r="A347" s="12"/>
      <c r="B347" s="12"/>
      <c r="C347" s="12"/>
      <c r="D347" s="12"/>
      <c r="E347" s="12"/>
      <c r="F347" s="12"/>
      <c r="G347" s="12"/>
      <c r="H347" s="12"/>
      <c r="I347" s="12"/>
      <c r="J347" s="12"/>
      <c r="K347" s="12"/>
      <c r="L347" s="12"/>
      <c r="M347" s="12"/>
      <c r="N347" s="12"/>
    </row>
    <row r="348" customFormat="false" ht="15" hidden="false" customHeight="true" outlineLevel="0" collapsed="false">
      <c r="A348" s="12"/>
      <c r="B348" s="12"/>
      <c r="C348" s="12"/>
      <c r="D348" s="12"/>
      <c r="E348" s="12"/>
      <c r="F348" s="12"/>
      <c r="G348" s="12"/>
      <c r="H348" s="12"/>
      <c r="I348" s="12"/>
      <c r="J348" s="12"/>
      <c r="K348" s="12"/>
      <c r="L348" s="12"/>
      <c r="M348" s="12"/>
      <c r="N348" s="12"/>
    </row>
    <row r="349" customFormat="false" ht="15" hidden="false" customHeight="true" outlineLevel="0" collapsed="false">
      <c r="A349" s="12"/>
      <c r="B349" s="12"/>
      <c r="C349" s="12"/>
      <c r="D349" s="12"/>
      <c r="E349" s="12"/>
      <c r="F349" s="12"/>
      <c r="G349" s="12"/>
      <c r="H349" s="12"/>
      <c r="I349" s="12"/>
      <c r="J349" s="12"/>
      <c r="K349" s="12"/>
      <c r="L349" s="12"/>
      <c r="M349" s="12"/>
      <c r="N349" s="12"/>
    </row>
    <row r="350" customFormat="false" ht="15" hidden="false" customHeight="true" outlineLevel="0" collapsed="false">
      <c r="A350" s="12"/>
      <c r="B350" s="12"/>
      <c r="C350" s="12"/>
      <c r="D350" s="12"/>
      <c r="E350" s="12"/>
      <c r="F350" s="12"/>
      <c r="G350" s="12"/>
      <c r="H350" s="12"/>
      <c r="I350" s="12"/>
      <c r="J350" s="12"/>
      <c r="K350" s="12"/>
      <c r="L350" s="12"/>
      <c r="M350" s="12"/>
      <c r="N350" s="12"/>
    </row>
    <row r="351" customFormat="false" ht="15" hidden="false" customHeight="true" outlineLevel="0" collapsed="false">
      <c r="A351" s="12"/>
      <c r="B351" s="12"/>
      <c r="C351" s="12"/>
      <c r="D351" s="12"/>
      <c r="E351" s="12"/>
      <c r="F351" s="12"/>
      <c r="G351" s="12"/>
      <c r="H351" s="12"/>
      <c r="I351" s="12"/>
      <c r="J351" s="12"/>
      <c r="K351" s="12"/>
      <c r="L351" s="12"/>
      <c r="M351" s="12"/>
      <c r="N351" s="12"/>
    </row>
    <row r="352" customFormat="false" ht="15" hidden="false" customHeight="true" outlineLevel="0" collapsed="false">
      <c r="A352" s="12"/>
      <c r="B352" s="12"/>
      <c r="C352" s="12"/>
      <c r="D352" s="12"/>
      <c r="E352" s="12"/>
      <c r="F352" s="12"/>
      <c r="G352" s="12"/>
      <c r="H352" s="12"/>
      <c r="I352" s="12"/>
      <c r="J352" s="12"/>
      <c r="K352" s="12"/>
      <c r="L352" s="12"/>
      <c r="M352" s="12"/>
      <c r="N352" s="12"/>
    </row>
    <row r="353" customFormat="false" ht="15" hidden="false" customHeight="true" outlineLevel="0" collapsed="false">
      <c r="A353" s="12"/>
      <c r="B353" s="12"/>
      <c r="C353" s="12"/>
      <c r="D353" s="12"/>
      <c r="E353" s="12"/>
      <c r="F353" s="12"/>
      <c r="G353" s="12"/>
      <c r="H353" s="12"/>
      <c r="I353" s="12"/>
      <c r="J353" s="12"/>
      <c r="K353" s="12"/>
      <c r="L353" s="12"/>
      <c r="M353" s="12"/>
      <c r="N353" s="12"/>
    </row>
    <row r="354" customFormat="false" ht="15" hidden="false" customHeight="true" outlineLevel="0" collapsed="false">
      <c r="A354" s="12"/>
      <c r="B354" s="12"/>
      <c r="C354" s="12"/>
      <c r="D354" s="12"/>
      <c r="E354" s="12"/>
      <c r="F354" s="12"/>
      <c r="G354" s="12"/>
      <c r="H354" s="12"/>
      <c r="I354" s="12"/>
      <c r="J354" s="12"/>
      <c r="K354" s="12"/>
      <c r="L354" s="12"/>
      <c r="M354" s="12"/>
      <c r="N354" s="12"/>
    </row>
    <row r="355" customFormat="false" ht="15" hidden="false" customHeight="true" outlineLevel="0" collapsed="false">
      <c r="A355" s="12"/>
      <c r="B355" s="12"/>
      <c r="C355" s="12"/>
      <c r="D355" s="12"/>
      <c r="E355" s="12"/>
      <c r="F355" s="12"/>
      <c r="G355" s="12"/>
      <c r="H355" s="12"/>
      <c r="I355" s="12"/>
      <c r="J355" s="12"/>
      <c r="K355" s="12"/>
      <c r="L355" s="12"/>
      <c r="M355" s="12"/>
      <c r="N355" s="12"/>
    </row>
    <row r="356" customFormat="false" ht="15" hidden="false" customHeight="true" outlineLevel="0" collapsed="false">
      <c r="A356" s="12"/>
      <c r="B356" s="12"/>
      <c r="C356" s="12"/>
      <c r="D356" s="12"/>
      <c r="E356" s="12"/>
      <c r="F356" s="12"/>
      <c r="G356" s="12"/>
      <c r="H356" s="12"/>
      <c r="I356" s="12"/>
      <c r="J356" s="12"/>
      <c r="K356" s="12"/>
      <c r="L356" s="12"/>
      <c r="M356" s="12"/>
      <c r="N356" s="12"/>
    </row>
    <row r="357" customFormat="false" ht="15" hidden="false" customHeight="true" outlineLevel="0" collapsed="false">
      <c r="A357" s="12"/>
      <c r="B357" s="12"/>
      <c r="C357" s="12"/>
      <c r="D357" s="12"/>
      <c r="E357" s="12"/>
      <c r="F357" s="12"/>
      <c r="G357" s="12"/>
      <c r="H357" s="12"/>
      <c r="I357" s="12"/>
      <c r="J357" s="12"/>
      <c r="K357" s="12"/>
      <c r="L357" s="12"/>
      <c r="M357" s="12"/>
      <c r="N357" s="12"/>
    </row>
    <row r="358" customFormat="false" ht="15" hidden="false" customHeight="true" outlineLevel="0" collapsed="false">
      <c r="A358" s="12"/>
      <c r="B358" s="12"/>
      <c r="C358" s="12"/>
      <c r="D358" s="12"/>
      <c r="E358" s="12"/>
      <c r="F358" s="12"/>
      <c r="G358" s="12"/>
      <c r="H358" s="12"/>
      <c r="I358" s="12"/>
      <c r="J358" s="12"/>
      <c r="K358" s="12"/>
      <c r="L358" s="12"/>
      <c r="M358" s="12"/>
      <c r="N358" s="12"/>
    </row>
    <row r="359" customFormat="false" ht="15" hidden="false" customHeight="true" outlineLevel="0" collapsed="false">
      <c r="A359" s="12"/>
      <c r="B359" s="12"/>
      <c r="C359" s="12"/>
      <c r="D359" s="12"/>
      <c r="E359" s="12"/>
      <c r="F359" s="12"/>
      <c r="G359" s="12"/>
      <c r="H359" s="12"/>
      <c r="I359" s="12"/>
      <c r="J359" s="12"/>
      <c r="K359" s="12"/>
      <c r="L359" s="12"/>
      <c r="M359" s="12"/>
      <c r="N359" s="12"/>
    </row>
    <row r="360" customFormat="false" ht="15" hidden="false" customHeight="true" outlineLevel="0" collapsed="false">
      <c r="A360" s="12"/>
      <c r="B360" s="12"/>
      <c r="C360" s="12"/>
      <c r="D360" s="12"/>
      <c r="E360" s="12"/>
      <c r="F360" s="12"/>
      <c r="G360" s="12"/>
      <c r="H360" s="12"/>
      <c r="I360" s="12"/>
      <c r="J360" s="12"/>
      <c r="K360" s="12"/>
      <c r="L360" s="12"/>
      <c r="M360" s="12"/>
      <c r="N360" s="12"/>
    </row>
    <row r="361" customFormat="false" ht="15" hidden="false" customHeight="true" outlineLevel="0" collapsed="false">
      <c r="A361" s="12"/>
      <c r="B361" s="12"/>
      <c r="C361" s="12"/>
      <c r="D361" s="12"/>
      <c r="E361" s="12"/>
      <c r="F361" s="12"/>
      <c r="G361" s="12"/>
      <c r="H361" s="12"/>
      <c r="I361" s="12"/>
      <c r="J361" s="12"/>
      <c r="K361" s="12"/>
      <c r="L361" s="12"/>
      <c r="M361" s="12"/>
      <c r="N361" s="12"/>
    </row>
    <row r="362" customFormat="false" ht="15" hidden="false" customHeight="true" outlineLevel="0" collapsed="false">
      <c r="A362" s="12"/>
      <c r="B362" s="12"/>
      <c r="C362" s="12"/>
      <c r="D362" s="12"/>
      <c r="E362" s="12"/>
      <c r="F362" s="12"/>
      <c r="G362" s="12"/>
      <c r="H362" s="12"/>
      <c r="I362" s="12"/>
      <c r="J362" s="12"/>
      <c r="K362" s="12"/>
      <c r="L362" s="12"/>
      <c r="M362" s="12"/>
      <c r="N362" s="12"/>
    </row>
    <row r="363" customFormat="false" ht="15" hidden="false" customHeight="true" outlineLevel="0" collapsed="false">
      <c r="A363" s="12"/>
      <c r="B363" s="12"/>
      <c r="C363" s="12"/>
      <c r="D363" s="12"/>
      <c r="E363" s="12"/>
      <c r="F363" s="12"/>
      <c r="G363" s="12"/>
      <c r="H363" s="12"/>
      <c r="I363" s="12"/>
      <c r="J363" s="12"/>
      <c r="K363" s="12"/>
      <c r="L363" s="12"/>
      <c r="M363" s="12"/>
      <c r="N363" s="12"/>
    </row>
    <row r="364" customFormat="false" ht="15" hidden="false" customHeight="true" outlineLevel="0" collapsed="false">
      <c r="A364" s="12"/>
      <c r="B364" s="12"/>
      <c r="C364" s="12"/>
      <c r="D364" s="12"/>
      <c r="E364" s="12"/>
      <c r="F364" s="12"/>
      <c r="G364" s="12"/>
      <c r="H364" s="12"/>
      <c r="I364" s="12"/>
      <c r="J364" s="12"/>
      <c r="K364" s="12"/>
      <c r="L364" s="12"/>
      <c r="M364" s="12"/>
      <c r="N364" s="12"/>
    </row>
    <row r="365" customFormat="false" ht="15" hidden="false" customHeight="true" outlineLevel="0" collapsed="false">
      <c r="A365" s="12"/>
      <c r="B365" s="12"/>
      <c r="C365" s="12"/>
      <c r="D365" s="12"/>
      <c r="E365" s="12"/>
      <c r="F365" s="12"/>
      <c r="G365" s="12"/>
      <c r="H365" s="12"/>
      <c r="I365" s="12"/>
      <c r="J365" s="12"/>
      <c r="K365" s="12"/>
      <c r="L365" s="12"/>
      <c r="M365" s="12"/>
      <c r="N365" s="12"/>
    </row>
    <row r="366" customFormat="false" ht="15" hidden="false" customHeight="true" outlineLevel="0" collapsed="false">
      <c r="A366" s="12"/>
      <c r="B366" s="12"/>
      <c r="C366" s="12"/>
      <c r="D366" s="12"/>
      <c r="E366" s="12"/>
      <c r="F366" s="12"/>
      <c r="G366" s="12"/>
      <c r="H366" s="12"/>
      <c r="I366" s="12"/>
      <c r="J366" s="12"/>
      <c r="K366" s="12"/>
      <c r="L366" s="12"/>
      <c r="M366" s="12"/>
      <c r="N366" s="12"/>
    </row>
    <row r="367" customFormat="false" ht="15" hidden="false" customHeight="true" outlineLevel="0" collapsed="false">
      <c r="A367" s="12"/>
      <c r="B367" s="12"/>
      <c r="C367" s="12"/>
      <c r="D367" s="12"/>
      <c r="E367" s="12"/>
      <c r="F367" s="12"/>
      <c r="G367" s="12"/>
      <c r="H367" s="12"/>
      <c r="I367" s="12"/>
      <c r="J367" s="12"/>
      <c r="K367" s="12"/>
      <c r="L367" s="12"/>
      <c r="M367" s="12"/>
      <c r="N367" s="12"/>
    </row>
    <row r="368" customFormat="false" ht="15" hidden="false" customHeight="true" outlineLevel="0" collapsed="false">
      <c r="A368" s="12"/>
      <c r="B368" s="12"/>
      <c r="C368" s="12"/>
      <c r="D368" s="12"/>
      <c r="E368" s="12"/>
      <c r="F368" s="12"/>
      <c r="G368" s="12"/>
      <c r="H368" s="12"/>
      <c r="I368" s="12"/>
      <c r="J368" s="12"/>
      <c r="K368" s="12"/>
      <c r="L368" s="12"/>
      <c r="M368" s="12"/>
      <c r="N368" s="12"/>
    </row>
    <row r="369" customFormat="false" ht="15" hidden="false" customHeight="true" outlineLevel="0" collapsed="false">
      <c r="A369" s="12"/>
      <c r="B369" s="12"/>
      <c r="C369" s="12"/>
      <c r="D369" s="12"/>
      <c r="E369" s="12"/>
      <c r="F369" s="12"/>
      <c r="G369" s="12"/>
      <c r="H369" s="12"/>
      <c r="I369" s="12"/>
      <c r="J369" s="12"/>
      <c r="K369" s="12"/>
      <c r="L369" s="12"/>
      <c r="M369" s="12"/>
      <c r="N369" s="12"/>
    </row>
    <row r="370" customFormat="false" ht="15" hidden="false" customHeight="true" outlineLevel="0" collapsed="false">
      <c r="A370" s="12"/>
      <c r="B370" s="12"/>
      <c r="C370" s="12"/>
      <c r="D370" s="12"/>
      <c r="E370" s="12"/>
      <c r="F370" s="12"/>
      <c r="G370" s="12"/>
      <c r="H370" s="12"/>
      <c r="I370" s="12"/>
      <c r="J370" s="12"/>
      <c r="K370" s="12"/>
      <c r="L370" s="12"/>
      <c r="M370" s="12"/>
      <c r="N370" s="12"/>
    </row>
    <row r="371" customFormat="false" ht="15" hidden="false" customHeight="true" outlineLevel="0" collapsed="false">
      <c r="A371" s="12"/>
      <c r="B371" s="12"/>
      <c r="C371" s="12"/>
      <c r="D371" s="12"/>
      <c r="E371" s="12"/>
      <c r="F371" s="12"/>
      <c r="G371" s="12"/>
      <c r="H371" s="12"/>
      <c r="I371" s="12"/>
      <c r="J371" s="12"/>
      <c r="K371" s="12"/>
      <c r="L371" s="12"/>
      <c r="M371" s="12"/>
      <c r="N371" s="12"/>
    </row>
    <row r="372" customFormat="false" ht="15" hidden="false" customHeight="true" outlineLevel="0" collapsed="false">
      <c r="A372" s="12"/>
      <c r="B372" s="12"/>
      <c r="C372" s="12"/>
      <c r="D372" s="12"/>
      <c r="E372" s="12"/>
      <c r="F372" s="12"/>
      <c r="G372" s="12"/>
      <c r="H372" s="12"/>
      <c r="I372" s="12"/>
      <c r="J372" s="12"/>
      <c r="K372" s="12"/>
      <c r="L372" s="12"/>
      <c r="M372" s="12"/>
      <c r="N372" s="12"/>
    </row>
    <row r="373" customFormat="false" ht="15" hidden="false" customHeight="true" outlineLevel="0" collapsed="false">
      <c r="A373" s="12"/>
      <c r="B373" s="12"/>
      <c r="C373" s="12"/>
      <c r="D373" s="12"/>
      <c r="E373" s="12"/>
      <c r="F373" s="12"/>
      <c r="G373" s="12"/>
      <c r="H373" s="12"/>
      <c r="I373" s="12"/>
      <c r="J373" s="12"/>
      <c r="K373" s="12"/>
      <c r="L373" s="12"/>
      <c r="M373" s="12"/>
      <c r="N373" s="12"/>
    </row>
    <row r="374" customFormat="false" ht="15" hidden="false" customHeight="true" outlineLevel="0" collapsed="false">
      <c r="A374" s="12"/>
      <c r="B374" s="12"/>
      <c r="C374" s="12"/>
      <c r="D374" s="12"/>
      <c r="E374" s="12"/>
      <c r="F374" s="12"/>
      <c r="G374" s="12"/>
      <c r="H374" s="12"/>
      <c r="I374" s="12"/>
      <c r="J374" s="12"/>
      <c r="K374" s="12"/>
      <c r="L374" s="12"/>
      <c r="M374" s="12"/>
      <c r="N374" s="12"/>
    </row>
    <row r="375" customFormat="false" ht="15" hidden="false" customHeight="true" outlineLevel="0" collapsed="false">
      <c r="A375" s="12"/>
      <c r="B375" s="12"/>
      <c r="C375" s="12"/>
      <c r="D375" s="12"/>
      <c r="E375" s="12"/>
      <c r="F375" s="12"/>
      <c r="G375" s="12"/>
      <c r="H375" s="12"/>
      <c r="I375" s="12"/>
      <c r="J375" s="12"/>
      <c r="K375" s="12"/>
      <c r="L375" s="12"/>
      <c r="M375" s="12"/>
      <c r="N375" s="12"/>
    </row>
    <row r="376" customFormat="false" ht="15" hidden="false" customHeight="true" outlineLevel="0" collapsed="false">
      <c r="A376" s="12"/>
      <c r="B376" s="12"/>
      <c r="C376" s="12"/>
      <c r="D376" s="12"/>
      <c r="E376" s="12"/>
      <c r="F376" s="12"/>
      <c r="G376" s="12"/>
      <c r="H376" s="12"/>
      <c r="I376" s="12"/>
      <c r="J376" s="12"/>
      <c r="K376" s="12"/>
      <c r="L376" s="12"/>
      <c r="M376" s="12"/>
      <c r="N376" s="12"/>
    </row>
    <row r="377" customFormat="false" ht="15" hidden="false" customHeight="true" outlineLevel="0" collapsed="false">
      <c r="A377" s="12"/>
      <c r="B377" s="12"/>
      <c r="C377" s="12"/>
      <c r="D377" s="12"/>
      <c r="E377" s="12"/>
      <c r="F377" s="12"/>
      <c r="G377" s="12"/>
      <c r="H377" s="12"/>
      <c r="I377" s="12"/>
      <c r="J377" s="12"/>
      <c r="K377" s="12"/>
      <c r="L377" s="12"/>
      <c r="M377" s="12"/>
      <c r="N377" s="12"/>
    </row>
    <row r="378" customFormat="false" ht="15" hidden="false" customHeight="true" outlineLevel="0" collapsed="false">
      <c r="A378" s="12"/>
      <c r="B378" s="12"/>
      <c r="C378" s="12"/>
      <c r="D378" s="12"/>
      <c r="E378" s="12"/>
      <c r="F378" s="12"/>
      <c r="G378" s="12"/>
      <c r="H378" s="12"/>
      <c r="I378" s="12"/>
      <c r="J378" s="12"/>
      <c r="K378" s="12"/>
      <c r="L378" s="12"/>
      <c r="M378" s="12"/>
      <c r="N378" s="12"/>
    </row>
    <row r="379" customFormat="false" ht="15" hidden="false" customHeight="true" outlineLevel="0" collapsed="false">
      <c r="A379" s="12"/>
      <c r="B379" s="12"/>
      <c r="C379" s="12"/>
      <c r="D379" s="12"/>
      <c r="E379" s="12"/>
      <c r="F379" s="12"/>
      <c r="G379" s="12"/>
      <c r="H379" s="12"/>
      <c r="I379" s="12"/>
      <c r="J379" s="12"/>
      <c r="K379" s="12"/>
      <c r="L379" s="12"/>
      <c r="M379" s="12"/>
      <c r="N379" s="12"/>
    </row>
    <row r="380" customFormat="false" ht="15" hidden="false" customHeight="true" outlineLevel="0" collapsed="false">
      <c r="A380" s="12"/>
      <c r="B380" s="12"/>
      <c r="C380" s="12"/>
      <c r="D380" s="12"/>
      <c r="E380" s="12"/>
      <c r="F380" s="12"/>
      <c r="G380" s="12"/>
      <c r="H380" s="12"/>
      <c r="I380" s="12"/>
      <c r="J380" s="12"/>
      <c r="K380" s="12"/>
      <c r="L380" s="12"/>
      <c r="M380" s="12"/>
      <c r="N380" s="12"/>
    </row>
    <row r="381" customFormat="false" ht="15" hidden="false" customHeight="true" outlineLevel="0" collapsed="false">
      <c r="A381" s="12"/>
      <c r="B381" s="12"/>
      <c r="C381" s="12"/>
      <c r="D381" s="12"/>
      <c r="E381" s="12"/>
      <c r="F381" s="12"/>
      <c r="G381" s="12"/>
      <c r="H381" s="12"/>
      <c r="I381" s="12"/>
      <c r="J381" s="12"/>
      <c r="K381" s="12"/>
      <c r="L381" s="12"/>
      <c r="M381" s="12"/>
      <c r="N381" s="12"/>
    </row>
    <row r="382" customFormat="false" ht="15" hidden="false" customHeight="true" outlineLevel="0" collapsed="false">
      <c r="A382" s="12"/>
      <c r="B382" s="12"/>
      <c r="C382" s="12"/>
      <c r="D382" s="12"/>
      <c r="E382" s="12"/>
      <c r="F382" s="12"/>
      <c r="G382" s="12"/>
      <c r="H382" s="12"/>
      <c r="I382" s="12"/>
      <c r="J382" s="12"/>
      <c r="K382" s="12"/>
      <c r="L382" s="12"/>
      <c r="M382" s="12"/>
      <c r="N382" s="12"/>
    </row>
    <row r="383" customFormat="false" ht="15" hidden="false" customHeight="true" outlineLevel="0" collapsed="false">
      <c r="A383" s="12"/>
      <c r="B383" s="12"/>
      <c r="C383" s="12"/>
      <c r="D383" s="12"/>
      <c r="E383" s="12"/>
      <c r="F383" s="12"/>
      <c r="G383" s="12"/>
      <c r="H383" s="12"/>
      <c r="I383" s="12"/>
      <c r="J383" s="12"/>
      <c r="K383" s="12"/>
      <c r="L383" s="12"/>
      <c r="M383" s="12"/>
      <c r="N383" s="12"/>
    </row>
    <row r="384" customFormat="false" ht="15" hidden="false" customHeight="true" outlineLevel="0" collapsed="false">
      <c r="A384" s="12"/>
      <c r="B384" s="12"/>
      <c r="C384" s="12"/>
      <c r="D384" s="12"/>
      <c r="E384" s="12"/>
      <c r="F384" s="12"/>
      <c r="G384" s="12"/>
      <c r="H384" s="12"/>
      <c r="I384" s="12"/>
      <c r="J384" s="12"/>
      <c r="K384" s="12"/>
      <c r="L384" s="12"/>
      <c r="M384" s="12"/>
      <c r="N384" s="12"/>
    </row>
    <row r="385" customFormat="false" ht="15" hidden="false" customHeight="true" outlineLevel="0" collapsed="false">
      <c r="A385" s="12"/>
      <c r="B385" s="12"/>
      <c r="C385" s="12"/>
      <c r="D385" s="12"/>
      <c r="E385" s="12"/>
      <c r="F385" s="12"/>
      <c r="G385" s="12"/>
      <c r="H385" s="12"/>
      <c r="I385" s="12"/>
      <c r="J385" s="12"/>
      <c r="K385" s="12"/>
      <c r="L385" s="12"/>
      <c r="M385" s="12"/>
      <c r="N385" s="12"/>
    </row>
    <row r="386" customFormat="false" ht="15" hidden="false" customHeight="true" outlineLevel="0" collapsed="false">
      <c r="A386" s="12"/>
      <c r="B386" s="12"/>
      <c r="C386" s="12"/>
      <c r="D386" s="12"/>
      <c r="E386" s="12"/>
      <c r="F386" s="12"/>
      <c r="G386" s="12"/>
      <c r="H386" s="12"/>
      <c r="I386" s="12"/>
      <c r="J386" s="12"/>
      <c r="K386" s="12"/>
      <c r="L386" s="12"/>
      <c r="M386" s="12"/>
      <c r="N386" s="12"/>
    </row>
    <row r="387" customFormat="false" ht="15" hidden="false" customHeight="true" outlineLevel="0" collapsed="false">
      <c r="A387" s="12"/>
      <c r="B387" s="12"/>
      <c r="C387" s="12"/>
      <c r="D387" s="12"/>
      <c r="E387" s="12"/>
      <c r="F387" s="12"/>
      <c r="G387" s="12"/>
      <c r="H387" s="12"/>
      <c r="I387" s="12"/>
      <c r="J387" s="12"/>
      <c r="K387" s="12"/>
      <c r="L387" s="12"/>
      <c r="M387" s="12"/>
      <c r="N387" s="12"/>
    </row>
    <row r="388" customFormat="false" ht="15" hidden="false" customHeight="true" outlineLevel="0" collapsed="false">
      <c r="A388" s="12"/>
      <c r="B388" s="12"/>
      <c r="C388" s="12"/>
      <c r="D388" s="12"/>
      <c r="E388" s="12"/>
      <c r="F388" s="12"/>
      <c r="G388" s="12"/>
      <c r="H388" s="12"/>
      <c r="I388" s="12"/>
      <c r="J388" s="12"/>
      <c r="K388" s="12"/>
      <c r="L388" s="12"/>
      <c r="M388" s="12"/>
      <c r="N388" s="12"/>
    </row>
    <row r="389" customFormat="false" ht="15" hidden="false" customHeight="true" outlineLevel="0" collapsed="false">
      <c r="A389" s="12"/>
      <c r="B389" s="12"/>
      <c r="C389" s="12"/>
      <c r="D389" s="12"/>
      <c r="E389" s="12"/>
      <c r="F389" s="12"/>
      <c r="G389" s="12"/>
      <c r="H389" s="12"/>
      <c r="I389" s="12"/>
      <c r="J389" s="12"/>
      <c r="K389" s="12"/>
      <c r="L389" s="12"/>
      <c r="M389" s="12"/>
      <c r="N389" s="12"/>
    </row>
    <row r="390" customFormat="false" ht="15" hidden="false" customHeight="true" outlineLevel="0" collapsed="false">
      <c r="A390" s="12"/>
      <c r="B390" s="12"/>
      <c r="C390" s="12"/>
      <c r="D390" s="12"/>
      <c r="E390" s="12"/>
      <c r="F390" s="12"/>
      <c r="G390" s="12"/>
      <c r="H390" s="12"/>
      <c r="I390" s="12"/>
      <c r="J390" s="12"/>
      <c r="K390" s="12"/>
      <c r="L390" s="12"/>
      <c r="M390" s="12"/>
      <c r="N390" s="12"/>
    </row>
    <row r="391" customFormat="false" ht="15" hidden="false" customHeight="true" outlineLevel="0" collapsed="false">
      <c r="A391" s="12"/>
      <c r="B391" s="12"/>
      <c r="C391" s="12"/>
      <c r="D391" s="12"/>
      <c r="E391" s="12"/>
      <c r="F391" s="12"/>
      <c r="G391" s="12"/>
      <c r="H391" s="12"/>
      <c r="I391" s="12"/>
      <c r="J391" s="12"/>
      <c r="K391" s="12"/>
      <c r="L391" s="12"/>
      <c r="M391" s="12"/>
      <c r="N391" s="12"/>
    </row>
    <row r="392" customFormat="false" ht="15" hidden="false" customHeight="true" outlineLevel="0" collapsed="false">
      <c r="A392" s="12"/>
      <c r="B392" s="12"/>
      <c r="C392" s="12"/>
      <c r="D392" s="12"/>
      <c r="E392" s="12"/>
      <c r="F392" s="12"/>
      <c r="G392" s="12"/>
      <c r="H392" s="12"/>
      <c r="I392" s="12"/>
      <c r="J392" s="12"/>
      <c r="K392" s="12"/>
      <c r="L392" s="12"/>
      <c r="M392" s="12"/>
      <c r="N392" s="12"/>
    </row>
    <row r="393" customFormat="false" ht="15" hidden="false" customHeight="true" outlineLevel="0" collapsed="false">
      <c r="A393" s="12"/>
      <c r="B393" s="12"/>
      <c r="C393" s="12"/>
      <c r="D393" s="12"/>
      <c r="E393" s="12"/>
      <c r="F393" s="12"/>
      <c r="G393" s="12"/>
      <c r="H393" s="12"/>
      <c r="I393" s="12"/>
      <c r="J393" s="12"/>
      <c r="K393" s="12"/>
      <c r="L393" s="12"/>
      <c r="M393" s="12"/>
      <c r="N393" s="12"/>
    </row>
    <row r="394" customFormat="false" ht="15" hidden="false" customHeight="true" outlineLevel="0" collapsed="false">
      <c r="A394" s="12"/>
      <c r="B394" s="12"/>
      <c r="C394" s="12"/>
      <c r="D394" s="12"/>
      <c r="E394" s="12"/>
      <c r="F394" s="12"/>
      <c r="G394" s="12"/>
      <c r="H394" s="12"/>
      <c r="I394" s="12"/>
      <c r="J394" s="12"/>
      <c r="K394" s="12"/>
      <c r="L394" s="12"/>
      <c r="M394" s="12"/>
      <c r="N394" s="12"/>
    </row>
    <row r="395" customFormat="false" ht="15" hidden="false" customHeight="true" outlineLevel="0" collapsed="false">
      <c r="A395" s="12"/>
      <c r="B395" s="12"/>
      <c r="C395" s="12"/>
      <c r="D395" s="12"/>
      <c r="E395" s="12"/>
      <c r="F395" s="12"/>
      <c r="G395" s="12"/>
      <c r="H395" s="12"/>
      <c r="I395" s="12"/>
      <c r="J395" s="12"/>
      <c r="K395" s="12"/>
      <c r="L395" s="12"/>
      <c r="M395" s="12"/>
      <c r="N395" s="12"/>
    </row>
    <row r="396" customFormat="false" ht="15" hidden="false" customHeight="true" outlineLevel="0" collapsed="false">
      <c r="A396" s="12"/>
      <c r="B396" s="12"/>
      <c r="C396" s="12"/>
      <c r="D396" s="12"/>
      <c r="E396" s="12"/>
      <c r="F396" s="12"/>
      <c r="G396" s="12"/>
      <c r="H396" s="12"/>
      <c r="I396" s="12"/>
      <c r="J396" s="12"/>
      <c r="K396" s="12"/>
      <c r="L396" s="12"/>
      <c r="M396" s="12"/>
      <c r="N396" s="12"/>
    </row>
    <row r="397" customFormat="false" ht="15" hidden="false" customHeight="true" outlineLevel="0" collapsed="false">
      <c r="A397" s="12"/>
      <c r="B397" s="12"/>
      <c r="C397" s="12"/>
      <c r="D397" s="12"/>
      <c r="E397" s="12"/>
      <c r="F397" s="12"/>
      <c r="G397" s="12"/>
      <c r="H397" s="12"/>
      <c r="I397" s="12"/>
      <c r="J397" s="12"/>
      <c r="K397" s="12"/>
      <c r="L397" s="12"/>
      <c r="M397" s="12"/>
      <c r="N397" s="12"/>
    </row>
    <row r="398" customFormat="false" ht="15" hidden="false" customHeight="true" outlineLevel="0" collapsed="false">
      <c r="A398" s="12"/>
      <c r="B398" s="12"/>
      <c r="C398" s="12"/>
      <c r="D398" s="12"/>
      <c r="E398" s="12"/>
      <c r="F398" s="12"/>
      <c r="G398" s="12"/>
      <c r="H398" s="12"/>
      <c r="I398" s="12"/>
      <c r="J398" s="12"/>
      <c r="K398" s="12"/>
      <c r="L398" s="12"/>
      <c r="M398" s="12"/>
      <c r="N398" s="12"/>
    </row>
    <row r="399" customFormat="false" ht="15" hidden="false" customHeight="true" outlineLevel="0" collapsed="false">
      <c r="A399" s="12"/>
      <c r="B399" s="12"/>
      <c r="C399" s="12"/>
      <c r="D399" s="12"/>
      <c r="E399" s="12"/>
      <c r="F399" s="12"/>
      <c r="G399" s="12"/>
      <c r="H399" s="12"/>
      <c r="I399" s="12"/>
      <c r="J399" s="12"/>
      <c r="K399" s="12"/>
      <c r="L399" s="12"/>
      <c r="M399" s="12"/>
      <c r="N399" s="12"/>
    </row>
    <row r="400" customFormat="false" ht="15" hidden="false" customHeight="true" outlineLevel="0" collapsed="false">
      <c r="A400" s="12"/>
      <c r="B400" s="12"/>
      <c r="C400" s="12"/>
      <c r="D400" s="12"/>
      <c r="E400" s="12"/>
      <c r="F400" s="12"/>
      <c r="G400" s="12"/>
      <c r="H400" s="12"/>
      <c r="I400" s="12"/>
      <c r="J400" s="12"/>
      <c r="K400" s="12"/>
      <c r="L400" s="12"/>
      <c r="M400" s="12"/>
      <c r="N400" s="12"/>
    </row>
    <row r="401" customFormat="false" ht="15" hidden="false" customHeight="true" outlineLevel="0" collapsed="false">
      <c r="A401" s="12"/>
      <c r="B401" s="12"/>
      <c r="C401" s="12"/>
      <c r="D401" s="12"/>
      <c r="E401" s="12"/>
      <c r="F401" s="12"/>
      <c r="G401" s="12"/>
      <c r="H401" s="12"/>
      <c r="I401" s="12"/>
      <c r="J401" s="12"/>
      <c r="K401" s="12"/>
      <c r="L401" s="12"/>
      <c r="M401" s="12"/>
      <c r="N401" s="12"/>
    </row>
    <row r="402" customFormat="false" ht="15" hidden="false" customHeight="true" outlineLevel="0" collapsed="false">
      <c r="A402" s="12"/>
      <c r="B402" s="12"/>
      <c r="C402" s="12"/>
      <c r="D402" s="12"/>
      <c r="E402" s="12"/>
      <c r="F402" s="12"/>
      <c r="G402" s="12"/>
      <c r="H402" s="12"/>
      <c r="I402" s="12"/>
      <c r="J402" s="12"/>
      <c r="K402" s="12"/>
      <c r="L402" s="12"/>
      <c r="M402" s="12"/>
      <c r="N402" s="12"/>
    </row>
    <row r="403" customFormat="false" ht="15" hidden="false" customHeight="true" outlineLevel="0" collapsed="false">
      <c r="A403" s="12"/>
      <c r="B403" s="12"/>
      <c r="C403" s="12"/>
      <c r="D403" s="12"/>
      <c r="E403" s="12"/>
      <c r="F403" s="12"/>
      <c r="G403" s="12"/>
      <c r="H403" s="12"/>
      <c r="I403" s="12"/>
      <c r="J403" s="12"/>
      <c r="K403" s="12"/>
      <c r="L403" s="12"/>
      <c r="M403" s="12"/>
      <c r="N403" s="12"/>
    </row>
    <row r="404" customFormat="false" ht="15" hidden="false" customHeight="true" outlineLevel="0" collapsed="false">
      <c r="A404" s="12"/>
      <c r="B404" s="12"/>
      <c r="C404" s="12"/>
      <c r="D404" s="12"/>
      <c r="E404" s="12"/>
      <c r="F404" s="12"/>
      <c r="G404" s="12"/>
      <c r="H404" s="12"/>
      <c r="I404" s="12"/>
      <c r="J404" s="12"/>
      <c r="K404" s="12"/>
      <c r="L404" s="12"/>
      <c r="M404" s="12"/>
      <c r="N404" s="12"/>
    </row>
    <row r="405" customFormat="false" ht="15" hidden="false" customHeight="true" outlineLevel="0" collapsed="false">
      <c r="A405" s="12"/>
      <c r="B405" s="12"/>
      <c r="C405" s="12"/>
      <c r="D405" s="12"/>
      <c r="E405" s="12"/>
      <c r="F405" s="12"/>
      <c r="G405" s="12"/>
      <c r="H405" s="12"/>
      <c r="I405" s="12"/>
      <c r="J405" s="12"/>
      <c r="K405" s="12"/>
      <c r="L405" s="12"/>
      <c r="M405" s="12"/>
      <c r="N405" s="12"/>
    </row>
    <row r="406" customFormat="false" ht="15" hidden="false" customHeight="true" outlineLevel="0" collapsed="false">
      <c r="A406" s="12"/>
      <c r="B406" s="12"/>
      <c r="C406" s="12"/>
      <c r="D406" s="12"/>
      <c r="E406" s="12"/>
      <c r="F406" s="12"/>
      <c r="G406" s="12"/>
      <c r="H406" s="12"/>
      <c r="I406" s="12"/>
      <c r="J406" s="12"/>
      <c r="K406" s="12"/>
      <c r="L406" s="12"/>
      <c r="M406" s="12"/>
      <c r="N406" s="12"/>
    </row>
    <row r="407" customFormat="false" ht="15" hidden="false" customHeight="true" outlineLevel="0" collapsed="false">
      <c r="A407" s="12"/>
      <c r="B407" s="12"/>
      <c r="C407" s="12"/>
      <c r="D407" s="12"/>
      <c r="E407" s="12"/>
      <c r="F407" s="12"/>
      <c r="G407" s="12"/>
      <c r="H407" s="12"/>
      <c r="I407" s="12"/>
      <c r="J407" s="12"/>
      <c r="K407" s="12"/>
      <c r="L407" s="12"/>
      <c r="M407" s="12"/>
      <c r="N407" s="12"/>
    </row>
    <row r="408" customFormat="false" ht="15" hidden="false" customHeight="true" outlineLevel="0" collapsed="false">
      <c r="A408" s="12"/>
      <c r="B408" s="12"/>
      <c r="C408" s="12"/>
      <c r="D408" s="12"/>
      <c r="E408" s="12"/>
      <c r="F408" s="12"/>
      <c r="G408" s="12"/>
      <c r="H408" s="12"/>
      <c r="I408" s="12"/>
      <c r="J408" s="12"/>
      <c r="K408" s="12"/>
      <c r="L408" s="12"/>
      <c r="M408" s="12"/>
      <c r="N408" s="12"/>
    </row>
    <row r="409" customFormat="false" ht="15" hidden="false" customHeight="true" outlineLevel="0" collapsed="false">
      <c r="A409" s="12"/>
      <c r="B409" s="12"/>
      <c r="C409" s="12"/>
      <c r="D409" s="12"/>
      <c r="E409" s="12"/>
      <c r="F409" s="12"/>
      <c r="G409" s="12"/>
      <c r="H409" s="12"/>
      <c r="I409" s="12"/>
      <c r="J409" s="12"/>
      <c r="K409" s="12"/>
      <c r="L409" s="12"/>
      <c r="M409" s="12"/>
      <c r="N409" s="12"/>
    </row>
    <row r="410" customFormat="false" ht="15" hidden="false" customHeight="true" outlineLevel="0" collapsed="false">
      <c r="A410" s="12"/>
      <c r="B410" s="12"/>
      <c r="C410" s="12"/>
      <c r="D410" s="12"/>
      <c r="E410" s="12"/>
      <c r="F410" s="12"/>
      <c r="G410" s="12"/>
      <c r="H410" s="12"/>
      <c r="I410" s="12"/>
      <c r="J410" s="12"/>
      <c r="K410" s="12"/>
      <c r="L410" s="12"/>
      <c r="M410" s="12"/>
      <c r="N410" s="12"/>
    </row>
    <row r="411" customFormat="false" ht="15" hidden="false" customHeight="true" outlineLevel="0" collapsed="false">
      <c r="A411" s="12"/>
      <c r="B411" s="12"/>
      <c r="C411" s="12"/>
      <c r="D411" s="12"/>
      <c r="E411" s="12"/>
      <c r="F411" s="12"/>
      <c r="G411" s="12"/>
      <c r="H411" s="12"/>
      <c r="I411" s="12"/>
      <c r="J411" s="12"/>
      <c r="K411" s="12"/>
      <c r="L411" s="12"/>
      <c r="M411" s="12"/>
      <c r="N411" s="12"/>
    </row>
    <row r="412" customFormat="false" ht="15" hidden="false" customHeight="true" outlineLevel="0" collapsed="false">
      <c r="A412" s="12"/>
      <c r="B412" s="12"/>
      <c r="C412" s="12"/>
      <c r="D412" s="12"/>
      <c r="E412" s="12"/>
      <c r="F412" s="12"/>
      <c r="G412" s="12"/>
      <c r="H412" s="12"/>
      <c r="I412" s="12"/>
      <c r="J412" s="12"/>
      <c r="K412" s="12"/>
      <c r="L412" s="12"/>
      <c r="M412" s="12"/>
      <c r="N412" s="12"/>
    </row>
    <row r="413" customFormat="false" ht="15" hidden="false" customHeight="true" outlineLevel="0" collapsed="false">
      <c r="A413" s="12"/>
      <c r="B413" s="12"/>
      <c r="C413" s="12"/>
      <c r="D413" s="12"/>
      <c r="E413" s="12"/>
      <c r="F413" s="12"/>
      <c r="G413" s="12"/>
      <c r="H413" s="12"/>
      <c r="I413" s="12"/>
      <c r="J413" s="12"/>
      <c r="K413" s="12"/>
      <c r="L413" s="12"/>
      <c r="M413" s="12"/>
      <c r="N413" s="12"/>
    </row>
    <row r="414" customFormat="false" ht="15" hidden="false" customHeight="true" outlineLevel="0" collapsed="false">
      <c r="A414" s="12"/>
      <c r="B414" s="12"/>
      <c r="C414" s="12"/>
      <c r="D414" s="12"/>
      <c r="E414" s="12"/>
      <c r="F414" s="12"/>
      <c r="G414" s="12"/>
      <c r="H414" s="12"/>
      <c r="I414" s="12"/>
      <c r="J414" s="12"/>
      <c r="K414" s="12"/>
      <c r="L414" s="12"/>
      <c r="M414" s="12"/>
      <c r="N414" s="12"/>
    </row>
    <row r="415" customFormat="false" ht="15" hidden="false" customHeight="true" outlineLevel="0" collapsed="false">
      <c r="A415" s="12"/>
      <c r="B415" s="12"/>
      <c r="C415" s="12"/>
      <c r="D415" s="12"/>
      <c r="E415" s="12"/>
      <c r="F415" s="12"/>
      <c r="G415" s="12"/>
      <c r="H415" s="12"/>
      <c r="I415" s="12"/>
      <c r="J415" s="12"/>
      <c r="K415" s="12"/>
      <c r="L415" s="12"/>
      <c r="M415" s="12"/>
      <c r="N415" s="12"/>
    </row>
    <row r="416" customFormat="false" ht="15" hidden="false" customHeight="true" outlineLevel="0" collapsed="false">
      <c r="A416" s="12"/>
      <c r="B416" s="12"/>
      <c r="C416" s="12"/>
      <c r="D416" s="12"/>
      <c r="E416" s="12"/>
      <c r="F416" s="12"/>
      <c r="G416" s="12"/>
      <c r="H416" s="12"/>
      <c r="I416" s="12"/>
      <c r="J416" s="12"/>
      <c r="K416" s="12"/>
      <c r="L416" s="12"/>
      <c r="M416" s="12"/>
      <c r="N416" s="12"/>
    </row>
    <row r="417" customFormat="false" ht="15" hidden="false" customHeight="true" outlineLevel="0" collapsed="false">
      <c r="A417" s="12"/>
      <c r="B417" s="12"/>
      <c r="C417" s="12"/>
      <c r="D417" s="12"/>
      <c r="E417" s="12"/>
      <c r="F417" s="12"/>
      <c r="G417" s="12"/>
      <c r="H417" s="12"/>
      <c r="I417" s="12"/>
      <c r="J417" s="12"/>
      <c r="K417" s="12"/>
      <c r="L417" s="12"/>
      <c r="M417" s="12"/>
      <c r="N417" s="12"/>
    </row>
    <row r="418" customFormat="false" ht="15" hidden="false" customHeight="true" outlineLevel="0" collapsed="false">
      <c r="A418" s="12"/>
      <c r="B418" s="12"/>
      <c r="C418" s="12"/>
      <c r="D418" s="12"/>
      <c r="E418" s="12"/>
      <c r="F418" s="12"/>
      <c r="G418" s="12"/>
      <c r="H418" s="12"/>
      <c r="I418" s="12"/>
      <c r="J418" s="12"/>
      <c r="K418" s="12"/>
      <c r="L418" s="12"/>
      <c r="M418" s="12"/>
      <c r="N418" s="12"/>
    </row>
    <row r="419" customFormat="false" ht="15" hidden="false" customHeight="true" outlineLevel="0" collapsed="false">
      <c r="A419" s="12"/>
      <c r="B419" s="12"/>
      <c r="C419" s="12"/>
      <c r="D419" s="12"/>
      <c r="E419" s="12"/>
      <c r="F419" s="12"/>
      <c r="G419" s="12"/>
      <c r="H419" s="12"/>
      <c r="I419" s="12"/>
      <c r="J419" s="12"/>
      <c r="K419" s="12"/>
      <c r="L419" s="12"/>
      <c r="M419" s="12"/>
      <c r="N419" s="12"/>
    </row>
  </sheetData>
  <dataValidations count="2">
    <dataValidation allowBlank="true" errorStyle="stop" operator="between" showDropDown="false" showErrorMessage="false" showInputMessage="false" sqref="C3:C419" type="list">
      <formula1>"ChatGPT,Gemini"</formula1>
      <formula2>0</formula2>
    </dataValidation>
    <dataValidation allowBlank="true" errorStyle="stop" operator="between" showDropDown="false" showErrorMessage="false" showInputMessage="false" sqref="D3:D419" type="list">
      <formula1>"v1,v2"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3" min="2" style="1" width="24"/>
    <col collapsed="false" customWidth="true" hidden="false" outlineLevel="0" max="5" min="4" style="1" width="12"/>
    <col collapsed="false" customWidth="true" hidden="false" outlineLevel="0" max="6" min="6" style="1" width="10"/>
    <col collapsed="false" customWidth="true" hidden="false" outlineLevel="0" max="7" min="7" style="1" width="13"/>
    <col collapsed="false" customWidth="true" hidden="false" outlineLevel="0" max="8" min="8" style="1" width="16"/>
    <col collapsed="false" customWidth="true" hidden="false" outlineLevel="0" max="9" min="9" style="1" width="13"/>
    <col collapsed="false" customWidth="true" hidden="false" outlineLevel="0" max="10" min="10" style="1" width="21"/>
    <col collapsed="false" customWidth="true" hidden="false" outlineLevel="0" max="11" min="11" style="1" width="34"/>
  </cols>
  <sheetData>
    <row r="1" customFormat="false" ht="30" hidden="false" customHeight="true" outlineLevel="0" collapsed="false">
      <c r="A1" s="6" t="s">
        <v>72</v>
      </c>
      <c r="B1" s="6" t="s">
        <v>78</v>
      </c>
      <c r="C1" s="6" t="s">
        <v>77</v>
      </c>
      <c r="D1" s="6" t="s">
        <v>95</v>
      </c>
      <c r="E1" s="6" t="s">
        <v>96</v>
      </c>
      <c r="F1" s="6" t="s">
        <v>97</v>
      </c>
      <c r="G1" s="6" t="s">
        <v>98</v>
      </c>
      <c r="H1" s="6" t="s">
        <v>99</v>
      </c>
      <c r="I1" s="6" t="s">
        <v>100</v>
      </c>
      <c r="J1" s="6" t="s">
        <v>101</v>
      </c>
      <c r="K1" s="6" t="s">
        <v>40</v>
      </c>
    </row>
    <row r="2" customFormat="false" ht="15" hidden="false" customHeight="true" outlineLevel="0" collapsed="false">
      <c r="A2" s="12"/>
      <c r="B2" s="12"/>
      <c r="C2" s="12"/>
      <c r="D2" s="13" t="n">
        <f aca="false">COUNTIFS(Runs!$B:$B,$A2,Runs!$H:$H,$B2,Runs!$C:$C,"ChatGPT",Runs!$D:$D,"v2")</f>
        <v>0</v>
      </c>
      <c r="E2" s="13" t="n">
        <f aca="false">COUNTIFS(Runs!$B:$B,$A2,Runs!$H:$H,$B2,Runs!$C:$C,"Gemini",Runs!$D:$D,"v2")</f>
        <v>0</v>
      </c>
      <c r="F2" s="13" t="n">
        <f aca="false">D2+E2</f>
        <v>0</v>
      </c>
      <c r="G2" s="13" t="str">
        <f aca="false">IF(AND(D2&gt;0,E2&gt;0),"yes","no")</f>
        <v>no</v>
      </c>
      <c r="H2" s="13" t="str">
        <f aca="false">IF($B2="","",IF(AND(D2&gt;=4,E2&gt;=4),"LOCKED",IF(AND(D2&gt;=2,E2&gt;=2),"CANDIDATE",IF(F2&lt;=2,"DISCARD","WEAK"))))</f>
        <v/>
      </c>
      <c r="I2" s="14" t="str">
        <f aca="false">IFERROR(ROUND(AVERAGEIFS(Runs!$K:$K,Runs!$B:$B,$A2,Runs!$H:$H,$B2,Runs!$D:$D,"v2"),0),"")</f>
        <v/>
      </c>
      <c r="J2" s="8"/>
      <c r="K2" s="15"/>
    </row>
    <row r="3" customFormat="false" ht="15" hidden="false" customHeight="true" outlineLevel="0" collapsed="false">
      <c r="A3" s="12"/>
      <c r="B3" s="12"/>
      <c r="C3" s="12"/>
      <c r="D3" s="13" t="n">
        <f aca="false">COUNTIFS(Runs!$B:$B,$A3,Runs!$H:$H,$B3,Runs!$C:$C,"ChatGPT",Runs!$D:$D,"v2")</f>
        <v>0</v>
      </c>
      <c r="E3" s="13" t="n">
        <f aca="false">COUNTIFS(Runs!$B:$B,$A3,Runs!$H:$H,$B3,Runs!$C:$C,"Gemini",Runs!$D:$D,"v2")</f>
        <v>0</v>
      </c>
      <c r="F3" s="13" t="n">
        <f aca="false">D3+E3</f>
        <v>0</v>
      </c>
      <c r="G3" s="13" t="str">
        <f aca="false">IF(AND(D3&gt;0,E3&gt;0),"yes","no")</f>
        <v>no</v>
      </c>
      <c r="H3" s="13" t="str">
        <f aca="false">IF($B3="","",IF(AND(D3&gt;=4,E3&gt;=4),"LOCKED",IF(AND(D3&gt;=2,E3&gt;=2),"CANDIDATE",IF(F3&lt;=2,"DISCARD","WEAK"))))</f>
        <v/>
      </c>
      <c r="I3" s="14" t="str">
        <f aca="false">IFERROR(ROUND(AVERAGEIFS(Runs!$K:$K,Runs!$B:$B,$A3,Runs!$H:$H,$B3,Runs!$D:$D,"v2"),0),"")</f>
        <v/>
      </c>
      <c r="J3" s="8"/>
      <c r="K3" s="15"/>
    </row>
    <row r="4" customFormat="false" ht="15" hidden="false" customHeight="true" outlineLevel="0" collapsed="false">
      <c r="A4" s="12"/>
      <c r="B4" s="12"/>
      <c r="C4" s="12"/>
      <c r="D4" s="13" t="n">
        <f aca="false">COUNTIFS(Runs!$B:$B,$A4,Runs!$H:$H,$B4,Runs!$C:$C,"ChatGPT",Runs!$D:$D,"v2")</f>
        <v>0</v>
      </c>
      <c r="E4" s="13" t="n">
        <f aca="false">COUNTIFS(Runs!$B:$B,$A4,Runs!$H:$H,$B4,Runs!$C:$C,"Gemini",Runs!$D:$D,"v2")</f>
        <v>0</v>
      </c>
      <c r="F4" s="13" t="n">
        <f aca="false">D4+E4</f>
        <v>0</v>
      </c>
      <c r="G4" s="13" t="str">
        <f aca="false">IF(AND(D4&gt;0,E4&gt;0),"yes","no")</f>
        <v>no</v>
      </c>
      <c r="H4" s="13" t="str">
        <f aca="false">IF($B4="","",IF(AND(D4&gt;=4,E4&gt;=4),"LOCKED",IF(AND(D4&gt;=2,E4&gt;=2),"CANDIDATE",IF(F4&lt;=2,"DISCARD","WEAK"))))</f>
        <v/>
      </c>
      <c r="I4" s="14" t="str">
        <f aca="false">IFERROR(ROUND(AVERAGEIFS(Runs!$K:$K,Runs!$B:$B,$A4,Runs!$H:$H,$B4,Runs!$D:$D,"v2"),0),"")</f>
        <v/>
      </c>
      <c r="J4" s="8"/>
      <c r="K4" s="15"/>
    </row>
    <row r="5" customFormat="false" ht="15" hidden="false" customHeight="true" outlineLevel="0" collapsed="false">
      <c r="A5" s="12"/>
      <c r="B5" s="12"/>
      <c r="C5" s="12"/>
      <c r="D5" s="13" t="n">
        <f aca="false">COUNTIFS(Runs!$B:$B,$A5,Runs!$H:$H,$B5,Runs!$C:$C,"ChatGPT",Runs!$D:$D,"v2")</f>
        <v>0</v>
      </c>
      <c r="E5" s="13" t="n">
        <f aca="false">COUNTIFS(Runs!$B:$B,$A5,Runs!$H:$H,$B5,Runs!$C:$C,"Gemini",Runs!$D:$D,"v2")</f>
        <v>0</v>
      </c>
      <c r="F5" s="13" t="n">
        <f aca="false">D5+E5</f>
        <v>0</v>
      </c>
      <c r="G5" s="13" t="str">
        <f aca="false">IF(AND(D5&gt;0,E5&gt;0),"yes","no")</f>
        <v>no</v>
      </c>
      <c r="H5" s="13" t="str">
        <f aca="false">IF($B5="","",IF(AND(D5&gt;=4,E5&gt;=4),"LOCKED",IF(AND(D5&gt;=2,E5&gt;=2),"CANDIDATE",IF(F5&lt;=2,"DISCARD","WEAK"))))</f>
        <v/>
      </c>
      <c r="I5" s="14" t="str">
        <f aca="false">IFERROR(ROUND(AVERAGEIFS(Runs!$K:$K,Runs!$B:$B,$A5,Runs!$H:$H,$B5,Runs!$D:$D,"v2"),0),"")</f>
        <v/>
      </c>
      <c r="J5" s="8"/>
      <c r="K5" s="15"/>
    </row>
    <row r="6" customFormat="false" ht="15" hidden="false" customHeight="true" outlineLevel="0" collapsed="false">
      <c r="A6" s="12"/>
      <c r="B6" s="12"/>
      <c r="C6" s="12"/>
      <c r="D6" s="13" t="n">
        <f aca="false">COUNTIFS(Runs!$B:$B,$A6,Runs!$H:$H,$B6,Runs!$C:$C,"ChatGPT",Runs!$D:$D,"v2")</f>
        <v>0</v>
      </c>
      <c r="E6" s="13" t="n">
        <f aca="false">COUNTIFS(Runs!$B:$B,$A6,Runs!$H:$H,$B6,Runs!$C:$C,"Gemini",Runs!$D:$D,"v2")</f>
        <v>0</v>
      </c>
      <c r="F6" s="13" t="n">
        <f aca="false">D6+E6</f>
        <v>0</v>
      </c>
      <c r="G6" s="13" t="str">
        <f aca="false">IF(AND(D6&gt;0,E6&gt;0),"yes","no")</f>
        <v>no</v>
      </c>
      <c r="H6" s="13" t="str">
        <f aca="false">IF($B6="","",IF(AND(D6&gt;=4,E6&gt;=4),"LOCKED",IF(AND(D6&gt;=2,E6&gt;=2),"CANDIDATE",IF(F6&lt;=2,"DISCARD","WEAK"))))</f>
        <v/>
      </c>
      <c r="I6" s="14" t="str">
        <f aca="false">IFERROR(ROUND(AVERAGEIFS(Runs!$K:$K,Runs!$B:$B,$A6,Runs!$H:$H,$B6,Runs!$D:$D,"v2"),0),"")</f>
        <v/>
      </c>
      <c r="J6" s="8"/>
      <c r="K6" s="15"/>
    </row>
    <row r="7" customFormat="false" ht="15" hidden="false" customHeight="true" outlineLevel="0" collapsed="false">
      <c r="A7" s="12"/>
      <c r="B7" s="12"/>
      <c r="C7" s="12"/>
      <c r="D7" s="13" t="n">
        <f aca="false">COUNTIFS(Runs!$B:$B,$A7,Runs!$H:$H,$B7,Runs!$C:$C,"ChatGPT",Runs!$D:$D,"v2")</f>
        <v>0</v>
      </c>
      <c r="E7" s="13" t="n">
        <f aca="false">COUNTIFS(Runs!$B:$B,$A7,Runs!$H:$H,$B7,Runs!$C:$C,"Gemini",Runs!$D:$D,"v2")</f>
        <v>0</v>
      </c>
      <c r="F7" s="13" t="n">
        <f aca="false">D7+E7</f>
        <v>0</v>
      </c>
      <c r="G7" s="13" t="str">
        <f aca="false">IF(AND(D7&gt;0,E7&gt;0),"yes","no")</f>
        <v>no</v>
      </c>
      <c r="H7" s="13" t="str">
        <f aca="false">IF($B7="","",IF(AND(D7&gt;=4,E7&gt;=4),"LOCKED",IF(AND(D7&gt;=2,E7&gt;=2),"CANDIDATE",IF(F7&lt;=2,"DISCARD","WEAK"))))</f>
        <v/>
      </c>
      <c r="I7" s="14" t="str">
        <f aca="false">IFERROR(ROUND(AVERAGEIFS(Runs!$K:$K,Runs!$B:$B,$A7,Runs!$H:$H,$B7,Runs!$D:$D,"v2"),0),"")</f>
        <v/>
      </c>
      <c r="J7" s="8"/>
      <c r="K7" s="15"/>
    </row>
    <row r="8" customFormat="false" ht="15" hidden="false" customHeight="true" outlineLevel="0" collapsed="false">
      <c r="A8" s="12"/>
      <c r="B8" s="12"/>
      <c r="C8" s="12"/>
      <c r="D8" s="13" t="n">
        <f aca="false">COUNTIFS(Runs!$B:$B,$A8,Runs!$H:$H,$B8,Runs!$C:$C,"ChatGPT",Runs!$D:$D,"v2")</f>
        <v>0</v>
      </c>
      <c r="E8" s="13" t="n">
        <f aca="false">COUNTIFS(Runs!$B:$B,$A8,Runs!$H:$H,$B8,Runs!$C:$C,"Gemini",Runs!$D:$D,"v2")</f>
        <v>0</v>
      </c>
      <c r="F8" s="13" t="n">
        <f aca="false">D8+E8</f>
        <v>0</v>
      </c>
      <c r="G8" s="13" t="str">
        <f aca="false">IF(AND(D8&gt;0,E8&gt;0),"yes","no")</f>
        <v>no</v>
      </c>
      <c r="H8" s="13" t="str">
        <f aca="false">IF($B8="","",IF(AND(D8&gt;=4,E8&gt;=4),"LOCKED",IF(AND(D8&gt;=2,E8&gt;=2),"CANDIDATE",IF(F8&lt;=2,"DISCARD","WEAK"))))</f>
        <v/>
      </c>
      <c r="I8" s="14" t="str">
        <f aca="false">IFERROR(ROUND(AVERAGEIFS(Runs!$K:$K,Runs!$B:$B,$A8,Runs!$H:$H,$B8,Runs!$D:$D,"v2"),0),"")</f>
        <v/>
      </c>
      <c r="J8" s="8"/>
      <c r="K8" s="15"/>
    </row>
    <row r="9" customFormat="false" ht="15" hidden="false" customHeight="true" outlineLevel="0" collapsed="false">
      <c r="A9" s="12"/>
      <c r="B9" s="12"/>
      <c r="C9" s="12"/>
      <c r="D9" s="13" t="n">
        <f aca="false">COUNTIFS(Runs!$B:$B,$A9,Runs!$H:$H,$B9,Runs!$C:$C,"ChatGPT",Runs!$D:$D,"v2")</f>
        <v>0</v>
      </c>
      <c r="E9" s="13" t="n">
        <f aca="false">COUNTIFS(Runs!$B:$B,$A9,Runs!$H:$H,$B9,Runs!$C:$C,"Gemini",Runs!$D:$D,"v2")</f>
        <v>0</v>
      </c>
      <c r="F9" s="13" t="n">
        <f aca="false">D9+E9</f>
        <v>0</v>
      </c>
      <c r="G9" s="13" t="str">
        <f aca="false">IF(AND(D9&gt;0,E9&gt;0),"yes","no")</f>
        <v>no</v>
      </c>
      <c r="H9" s="13" t="str">
        <f aca="false">IF($B9="","",IF(AND(D9&gt;=4,E9&gt;=4),"LOCKED",IF(AND(D9&gt;=2,E9&gt;=2),"CANDIDATE",IF(F9&lt;=2,"DISCARD","WEAK"))))</f>
        <v/>
      </c>
      <c r="I9" s="14" t="str">
        <f aca="false">IFERROR(ROUND(AVERAGEIFS(Runs!$K:$K,Runs!$B:$B,$A9,Runs!$H:$H,$B9,Runs!$D:$D,"v2"),0),"")</f>
        <v/>
      </c>
      <c r="J9" s="8"/>
      <c r="K9" s="15"/>
    </row>
    <row r="10" customFormat="false" ht="15" hidden="false" customHeight="true" outlineLevel="0" collapsed="false">
      <c r="A10" s="12"/>
      <c r="B10" s="12"/>
      <c r="C10" s="12"/>
      <c r="D10" s="13" t="n">
        <f aca="false">COUNTIFS(Runs!$B:$B,$A10,Runs!$H:$H,$B10,Runs!$C:$C,"ChatGPT",Runs!$D:$D,"v2")</f>
        <v>0</v>
      </c>
      <c r="E10" s="13" t="n">
        <f aca="false">COUNTIFS(Runs!$B:$B,$A10,Runs!$H:$H,$B10,Runs!$C:$C,"Gemini",Runs!$D:$D,"v2")</f>
        <v>0</v>
      </c>
      <c r="F10" s="13" t="n">
        <f aca="false">D10+E10</f>
        <v>0</v>
      </c>
      <c r="G10" s="13" t="str">
        <f aca="false">IF(AND(D10&gt;0,E10&gt;0),"yes","no")</f>
        <v>no</v>
      </c>
      <c r="H10" s="13" t="str">
        <f aca="false">IF($B10="","",IF(AND(D10&gt;=4,E10&gt;=4),"LOCKED",IF(AND(D10&gt;=2,E10&gt;=2),"CANDIDATE",IF(F10&lt;=2,"DISCARD","WEAK"))))</f>
        <v/>
      </c>
      <c r="I10" s="14" t="str">
        <f aca="false">IFERROR(ROUND(AVERAGEIFS(Runs!$K:$K,Runs!$B:$B,$A10,Runs!$H:$H,$B10,Runs!$D:$D,"v2"),0),"")</f>
        <v/>
      </c>
      <c r="J10" s="8"/>
      <c r="K10" s="15"/>
    </row>
    <row r="11" customFormat="false" ht="15" hidden="false" customHeight="true" outlineLevel="0" collapsed="false">
      <c r="A11" s="12"/>
      <c r="B11" s="12"/>
      <c r="C11" s="12"/>
      <c r="D11" s="13" t="n">
        <f aca="false">COUNTIFS(Runs!$B:$B,$A11,Runs!$H:$H,$B11,Runs!$C:$C,"ChatGPT",Runs!$D:$D,"v2")</f>
        <v>0</v>
      </c>
      <c r="E11" s="13" t="n">
        <f aca="false">COUNTIFS(Runs!$B:$B,$A11,Runs!$H:$H,$B11,Runs!$C:$C,"Gemini",Runs!$D:$D,"v2")</f>
        <v>0</v>
      </c>
      <c r="F11" s="13" t="n">
        <f aca="false">D11+E11</f>
        <v>0</v>
      </c>
      <c r="G11" s="13" t="str">
        <f aca="false">IF(AND(D11&gt;0,E11&gt;0),"yes","no")</f>
        <v>no</v>
      </c>
      <c r="H11" s="13" t="str">
        <f aca="false">IF($B11="","",IF(AND(D11&gt;=4,E11&gt;=4),"LOCKED",IF(AND(D11&gt;=2,E11&gt;=2),"CANDIDATE",IF(F11&lt;=2,"DISCARD","WEAK"))))</f>
        <v/>
      </c>
      <c r="I11" s="14" t="str">
        <f aca="false">IFERROR(ROUND(AVERAGEIFS(Runs!$K:$K,Runs!$B:$B,$A11,Runs!$H:$H,$B11,Runs!$D:$D,"v2"),0),"")</f>
        <v/>
      </c>
      <c r="J11" s="8"/>
      <c r="K11" s="15"/>
    </row>
    <row r="12" customFormat="false" ht="15" hidden="false" customHeight="true" outlineLevel="0" collapsed="false">
      <c r="A12" s="12"/>
      <c r="B12" s="12"/>
      <c r="C12" s="12"/>
      <c r="D12" s="13" t="n">
        <f aca="false">COUNTIFS(Runs!$B:$B,$A12,Runs!$H:$H,$B12,Runs!$C:$C,"ChatGPT",Runs!$D:$D,"v2")</f>
        <v>0</v>
      </c>
      <c r="E12" s="13" t="n">
        <f aca="false">COUNTIFS(Runs!$B:$B,$A12,Runs!$H:$H,$B12,Runs!$C:$C,"Gemini",Runs!$D:$D,"v2")</f>
        <v>0</v>
      </c>
      <c r="F12" s="13" t="n">
        <f aca="false">D12+E12</f>
        <v>0</v>
      </c>
      <c r="G12" s="13" t="str">
        <f aca="false">IF(AND(D12&gt;0,E12&gt;0),"yes","no")</f>
        <v>no</v>
      </c>
      <c r="H12" s="13" t="str">
        <f aca="false">IF($B12="","",IF(AND(D12&gt;=4,E12&gt;=4),"LOCKED",IF(AND(D12&gt;=2,E12&gt;=2),"CANDIDATE",IF(F12&lt;=2,"DISCARD","WEAK"))))</f>
        <v/>
      </c>
      <c r="I12" s="14" t="str">
        <f aca="false">IFERROR(ROUND(AVERAGEIFS(Runs!$K:$K,Runs!$B:$B,$A12,Runs!$H:$H,$B12,Runs!$D:$D,"v2"),0),"")</f>
        <v/>
      </c>
      <c r="J12" s="8"/>
      <c r="K12" s="15"/>
    </row>
    <row r="13" customFormat="false" ht="15" hidden="false" customHeight="true" outlineLevel="0" collapsed="false">
      <c r="A13" s="12"/>
      <c r="B13" s="12"/>
      <c r="C13" s="12"/>
      <c r="D13" s="13" t="n">
        <f aca="false">COUNTIFS(Runs!$B:$B,$A13,Runs!$H:$H,$B13,Runs!$C:$C,"ChatGPT",Runs!$D:$D,"v2")</f>
        <v>0</v>
      </c>
      <c r="E13" s="13" t="n">
        <f aca="false">COUNTIFS(Runs!$B:$B,$A13,Runs!$H:$H,$B13,Runs!$C:$C,"Gemini",Runs!$D:$D,"v2")</f>
        <v>0</v>
      </c>
      <c r="F13" s="13" t="n">
        <f aca="false">D13+E13</f>
        <v>0</v>
      </c>
      <c r="G13" s="13" t="str">
        <f aca="false">IF(AND(D13&gt;0,E13&gt;0),"yes","no")</f>
        <v>no</v>
      </c>
      <c r="H13" s="13" t="str">
        <f aca="false">IF($B13="","",IF(AND(D13&gt;=4,E13&gt;=4),"LOCKED",IF(AND(D13&gt;=2,E13&gt;=2),"CANDIDATE",IF(F13&lt;=2,"DISCARD","WEAK"))))</f>
        <v/>
      </c>
      <c r="I13" s="14" t="str">
        <f aca="false">IFERROR(ROUND(AVERAGEIFS(Runs!$K:$K,Runs!$B:$B,$A13,Runs!$H:$H,$B13,Runs!$D:$D,"v2"),0),"")</f>
        <v/>
      </c>
      <c r="J13" s="8"/>
      <c r="K13" s="15"/>
    </row>
    <row r="14" customFormat="false" ht="15" hidden="false" customHeight="true" outlineLevel="0" collapsed="false">
      <c r="A14" s="12"/>
      <c r="B14" s="12"/>
      <c r="C14" s="12"/>
      <c r="D14" s="13" t="n">
        <f aca="false">COUNTIFS(Runs!$B:$B,$A14,Runs!$H:$H,$B14,Runs!$C:$C,"ChatGPT",Runs!$D:$D,"v2")</f>
        <v>0</v>
      </c>
      <c r="E14" s="13" t="n">
        <f aca="false">COUNTIFS(Runs!$B:$B,$A14,Runs!$H:$H,$B14,Runs!$C:$C,"Gemini",Runs!$D:$D,"v2")</f>
        <v>0</v>
      </c>
      <c r="F14" s="13" t="n">
        <f aca="false">D14+E14</f>
        <v>0</v>
      </c>
      <c r="G14" s="13" t="str">
        <f aca="false">IF(AND(D14&gt;0,E14&gt;0),"yes","no")</f>
        <v>no</v>
      </c>
      <c r="H14" s="13" t="str">
        <f aca="false">IF($B14="","",IF(AND(D14&gt;=4,E14&gt;=4),"LOCKED",IF(AND(D14&gt;=2,E14&gt;=2),"CANDIDATE",IF(F14&lt;=2,"DISCARD","WEAK"))))</f>
        <v/>
      </c>
      <c r="I14" s="14" t="str">
        <f aca="false">IFERROR(ROUND(AVERAGEIFS(Runs!$K:$K,Runs!$B:$B,$A14,Runs!$H:$H,$B14,Runs!$D:$D,"v2"),0),"")</f>
        <v/>
      </c>
      <c r="J14" s="8"/>
      <c r="K14" s="15"/>
    </row>
    <row r="15" customFormat="false" ht="15" hidden="false" customHeight="true" outlineLevel="0" collapsed="false">
      <c r="A15" s="12"/>
      <c r="B15" s="12"/>
      <c r="C15" s="12"/>
      <c r="D15" s="13" t="n">
        <f aca="false">COUNTIFS(Runs!$B:$B,$A15,Runs!$H:$H,$B15,Runs!$C:$C,"ChatGPT",Runs!$D:$D,"v2")</f>
        <v>0</v>
      </c>
      <c r="E15" s="13" t="n">
        <f aca="false">COUNTIFS(Runs!$B:$B,$A15,Runs!$H:$H,$B15,Runs!$C:$C,"Gemini",Runs!$D:$D,"v2")</f>
        <v>0</v>
      </c>
      <c r="F15" s="13" t="n">
        <f aca="false">D15+E15</f>
        <v>0</v>
      </c>
      <c r="G15" s="13" t="str">
        <f aca="false">IF(AND(D15&gt;0,E15&gt;0),"yes","no")</f>
        <v>no</v>
      </c>
      <c r="H15" s="13" t="str">
        <f aca="false">IF($B15="","",IF(AND(D15&gt;=4,E15&gt;=4),"LOCKED",IF(AND(D15&gt;=2,E15&gt;=2),"CANDIDATE",IF(F15&lt;=2,"DISCARD","WEAK"))))</f>
        <v/>
      </c>
      <c r="I15" s="14" t="str">
        <f aca="false">IFERROR(ROUND(AVERAGEIFS(Runs!$K:$K,Runs!$B:$B,$A15,Runs!$H:$H,$B15,Runs!$D:$D,"v2"),0),"")</f>
        <v/>
      </c>
      <c r="J15" s="8"/>
      <c r="K15" s="15"/>
    </row>
    <row r="16" customFormat="false" ht="15" hidden="false" customHeight="true" outlineLevel="0" collapsed="false">
      <c r="A16" s="12"/>
      <c r="B16" s="12"/>
      <c r="C16" s="12"/>
      <c r="D16" s="13" t="n">
        <f aca="false">COUNTIFS(Runs!$B:$B,$A16,Runs!$H:$H,$B16,Runs!$C:$C,"ChatGPT",Runs!$D:$D,"v2")</f>
        <v>0</v>
      </c>
      <c r="E16" s="13" t="n">
        <f aca="false">COUNTIFS(Runs!$B:$B,$A16,Runs!$H:$H,$B16,Runs!$C:$C,"Gemini",Runs!$D:$D,"v2")</f>
        <v>0</v>
      </c>
      <c r="F16" s="13" t="n">
        <f aca="false">D16+E16</f>
        <v>0</v>
      </c>
      <c r="G16" s="13" t="str">
        <f aca="false">IF(AND(D16&gt;0,E16&gt;0),"yes","no")</f>
        <v>no</v>
      </c>
      <c r="H16" s="13" t="str">
        <f aca="false">IF($B16="","",IF(AND(D16&gt;=4,E16&gt;=4),"LOCKED",IF(AND(D16&gt;=2,E16&gt;=2),"CANDIDATE",IF(F16&lt;=2,"DISCARD","WEAK"))))</f>
        <v/>
      </c>
      <c r="I16" s="14" t="str">
        <f aca="false">IFERROR(ROUND(AVERAGEIFS(Runs!$K:$K,Runs!$B:$B,$A16,Runs!$H:$H,$B16,Runs!$D:$D,"v2"),0),"")</f>
        <v/>
      </c>
      <c r="J16" s="8"/>
      <c r="K16" s="15"/>
    </row>
    <row r="17" customFormat="false" ht="15" hidden="false" customHeight="true" outlineLevel="0" collapsed="false">
      <c r="A17" s="12"/>
      <c r="B17" s="12"/>
      <c r="C17" s="12"/>
      <c r="D17" s="13" t="n">
        <f aca="false">COUNTIFS(Runs!$B:$B,$A17,Runs!$H:$H,$B17,Runs!$C:$C,"ChatGPT",Runs!$D:$D,"v2")</f>
        <v>0</v>
      </c>
      <c r="E17" s="13" t="n">
        <f aca="false">COUNTIFS(Runs!$B:$B,$A17,Runs!$H:$H,$B17,Runs!$C:$C,"Gemini",Runs!$D:$D,"v2")</f>
        <v>0</v>
      </c>
      <c r="F17" s="13" t="n">
        <f aca="false">D17+E17</f>
        <v>0</v>
      </c>
      <c r="G17" s="13" t="str">
        <f aca="false">IF(AND(D17&gt;0,E17&gt;0),"yes","no")</f>
        <v>no</v>
      </c>
      <c r="H17" s="13" t="str">
        <f aca="false">IF($B17="","",IF(AND(D17&gt;=4,E17&gt;=4),"LOCKED",IF(AND(D17&gt;=2,E17&gt;=2),"CANDIDATE",IF(F17&lt;=2,"DISCARD","WEAK"))))</f>
        <v/>
      </c>
      <c r="I17" s="14" t="str">
        <f aca="false">IFERROR(ROUND(AVERAGEIFS(Runs!$K:$K,Runs!$B:$B,$A17,Runs!$H:$H,$B17,Runs!$D:$D,"v2"),0),"")</f>
        <v/>
      </c>
      <c r="J17" s="8"/>
      <c r="K17" s="15"/>
    </row>
    <row r="18" customFormat="false" ht="15" hidden="false" customHeight="true" outlineLevel="0" collapsed="false">
      <c r="A18" s="12"/>
      <c r="B18" s="12"/>
      <c r="C18" s="12"/>
      <c r="D18" s="13" t="n">
        <f aca="false">COUNTIFS(Runs!$B:$B,$A18,Runs!$H:$H,$B18,Runs!$C:$C,"ChatGPT",Runs!$D:$D,"v2")</f>
        <v>0</v>
      </c>
      <c r="E18" s="13" t="n">
        <f aca="false">COUNTIFS(Runs!$B:$B,$A18,Runs!$H:$H,$B18,Runs!$C:$C,"Gemini",Runs!$D:$D,"v2")</f>
        <v>0</v>
      </c>
      <c r="F18" s="13" t="n">
        <f aca="false">D18+E18</f>
        <v>0</v>
      </c>
      <c r="G18" s="13" t="str">
        <f aca="false">IF(AND(D18&gt;0,E18&gt;0),"yes","no")</f>
        <v>no</v>
      </c>
      <c r="H18" s="13" t="str">
        <f aca="false">IF($B18="","",IF(AND(D18&gt;=4,E18&gt;=4),"LOCKED",IF(AND(D18&gt;=2,E18&gt;=2),"CANDIDATE",IF(F18&lt;=2,"DISCARD","WEAK"))))</f>
        <v/>
      </c>
      <c r="I18" s="14" t="str">
        <f aca="false">IFERROR(ROUND(AVERAGEIFS(Runs!$K:$K,Runs!$B:$B,$A18,Runs!$H:$H,$B18,Runs!$D:$D,"v2"),0),"")</f>
        <v/>
      </c>
      <c r="J18" s="8"/>
      <c r="K18" s="15"/>
    </row>
    <row r="19" customFormat="false" ht="15" hidden="false" customHeight="true" outlineLevel="0" collapsed="false">
      <c r="A19" s="12"/>
      <c r="B19" s="12"/>
      <c r="C19" s="12"/>
      <c r="D19" s="13" t="n">
        <f aca="false">COUNTIFS(Runs!$B:$B,$A19,Runs!$H:$H,$B19,Runs!$C:$C,"ChatGPT",Runs!$D:$D,"v2")</f>
        <v>0</v>
      </c>
      <c r="E19" s="13" t="n">
        <f aca="false">COUNTIFS(Runs!$B:$B,$A19,Runs!$H:$H,$B19,Runs!$C:$C,"Gemini",Runs!$D:$D,"v2")</f>
        <v>0</v>
      </c>
      <c r="F19" s="13" t="n">
        <f aca="false">D19+E19</f>
        <v>0</v>
      </c>
      <c r="G19" s="13" t="str">
        <f aca="false">IF(AND(D19&gt;0,E19&gt;0),"yes","no")</f>
        <v>no</v>
      </c>
      <c r="H19" s="13" t="str">
        <f aca="false">IF($B19="","",IF(AND(D19&gt;=4,E19&gt;=4),"LOCKED",IF(AND(D19&gt;=2,E19&gt;=2),"CANDIDATE",IF(F19&lt;=2,"DISCARD","WEAK"))))</f>
        <v/>
      </c>
      <c r="I19" s="14" t="str">
        <f aca="false">IFERROR(ROUND(AVERAGEIFS(Runs!$K:$K,Runs!$B:$B,$A19,Runs!$H:$H,$B19,Runs!$D:$D,"v2"),0),"")</f>
        <v/>
      </c>
      <c r="J19" s="8"/>
      <c r="K19" s="15"/>
    </row>
    <row r="20" customFormat="false" ht="15" hidden="false" customHeight="true" outlineLevel="0" collapsed="false">
      <c r="A20" s="12"/>
      <c r="B20" s="12"/>
      <c r="C20" s="12"/>
      <c r="D20" s="13" t="n">
        <f aca="false">COUNTIFS(Runs!$B:$B,$A20,Runs!$H:$H,$B20,Runs!$C:$C,"ChatGPT",Runs!$D:$D,"v2")</f>
        <v>0</v>
      </c>
      <c r="E20" s="13" t="n">
        <f aca="false">COUNTIFS(Runs!$B:$B,$A20,Runs!$H:$H,$B20,Runs!$C:$C,"Gemini",Runs!$D:$D,"v2")</f>
        <v>0</v>
      </c>
      <c r="F20" s="13" t="n">
        <f aca="false">D20+E20</f>
        <v>0</v>
      </c>
      <c r="G20" s="13" t="str">
        <f aca="false">IF(AND(D20&gt;0,E20&gt;0),"yes","no")</f>
        <v>no</v>
      </c>
      <c r="H20" s="13" t="str">
        <f aca="false">IF($B20="","",IF(AND(D20&gt;=4,E20&gt;=4),"LOCKED",IF(AND(D20&gt;=2,E20&gt;=2),"CANDIDATE",IF(F20&lt;=2,"DISCARD","WEAK"))))</f>
        <v/>
      </c>
      <c r="I20" s="14" t="str">
        <f aca="false">IFERROR(ROUND(AVERAGEIFS(Runs!$K:$K,Runs!$B:$B,$A20,Runs!$H:$H,$B20,Runs!$D:$D,"v2"),0),"")</f>
        <v/>
      </c>
      <c r="J20" s="8"/>
      <c r="K20" s="15"/>
    </row>
    <row r="21" customFormat="false" ht="15" hidden="false" customHeight="true" outlineLevel="0" collapsed="false">
      <c r="A21" s="12"/>
      <c r="B21" s="12"/>
      <c r="C21" s="12"/>
      <c r="D21" s="13" t="n">
        <f aca="false">COUNTIFS(Runs!$B:$B,$A21,Runs!$H:$H,$B21,Runs!$C:$C,"ChatGPT",Runs!$D:$D,"v2")</f>
        <v>0</v>
      </c>
      <c r="E21" s="13" t="n">
        <f aca="false">COUNTIFS(Runs!$B:$B,$A21,Runs!$H:$H,$B21,Runs!$C:$C,"Gemini",Runs!$D:$D,"v2")</f>
        <v>0</v>
      </c>
      <c r="F21" s="13" t="n">
        <f aca="false">D21+E21</f>
        <v>0</v>
      </c>
      <c r="G21" s="13" t="str">
        <f aca="false">IF(AND(D21&gt;0,E21&gt;0),"yes","no")</f>
        <v>no</v>
      </c>
      <c r="H21" s="13" t="str">
        <f aca="false">IF($B21="","",IF(AND(D21&gt;=4,E21&gt;=4),"LOCKED",IF(AND(D21&gt;=2,E21&gt;=2),"CANDIDATE",IF(F21&lt;=2,"DISCARD","WEAK"))))</f>
        <v/>
      </c>
      <c r="I21" s="14" t="str">
        <f aca="false">IFERROR(ROUND(AVERAGEIFS(Runs!$K:$K,Runs!$B:$B,$A21,Runs!$H:$H,$B21,Runs!$D:$D,"v2"),0),"")</f>
        <v/>
      </c>
      <c r="J21" s="8"/>
      <c r="K21" s="15"/>
    </row>
    <row r="22" customFormat="false" ht="15" hidden="false" customHeight="true" outlineLevel="0" collapsed="false">
      <c r="A22" s="12"/>
      <c r="B22" s="12"/>
      <c r="C22" s="12"/>
      <c r="D22" s="13" t="n">
        <f aca="false">COUNTIFS(Runs!$B:$B,$A22,Runs!$H:$H,$B22,Runs!$C:$C,"ChatGPT",Runs!$D:$D,"v2")</f>
        <v>0</v>
      </c>
      <c r="E22" s="13" t="n">
        <f aca="false">COUNTIFS(Runs!$B:$B,$A22,Runs!$H:$H,$B22,Runs!$C:$C,"Gemini",Runs!$D:$D,"v2")</f>
        <v>0</v>
      </c>
      <c r="F22" s="13" t="n">
        <f aca="false">D22+E22</f>
        <v>0</v>
      </c>
      <c r="G22" s="13" t="str">
        <f aca="false">IF(AND(D22&gt;0,E22&gt;0),"yes","no")</f>
        <v>no</v>
      </c>
      <c r="H22" s="13" t="str">
        <f aca="false">IF($B22="","",IF(AND(D22&gt;=4,E22&gt;=4),"LOCKED",IF(AND(D22&gt;=2,E22&gt;=2),"CANDIDATE",IF(F22&lt;=2,"DISCARD","WEAK"))))</f>
        <v/>
      </c>
      <c r="I22" s="14" t="str">
        <f aca="false">IFERROR(ROUND(AVERAGEIFS(Runs!$K:$K,Runs!$B:$B,$A22,Runs!$H:$H,$B22,Runs!$D:$D,"v2"),0),"")</f>
        <v/>
      </c>
      <c r="J22" s="8"/>
      <c r="K22" s="15"/>
    </row>
    <row r="23" customFormat="false" ht="15" hidden="false" customHeight="true" outlineLevel="0" collapsed="false">
      <c r="A23" s="12"/>
      <c r="B23" s="12"/>
      <c r="C23" s="12"/>
      <c r="D23" s="13" t="n">
        <f aca="false">COUNTIFS(Runs!$B:$B,$A23,Runs!$H:$H,$B23,Runs!$C:$C,"ChatGPT",Runs!$D:$D,"v2")</f>
        <v>0</v>
      </c>
      <c r="E23" s="13" t="n">
        <f aca="false">COUNTIFS(Runs!$B:$B,$A23,Runs!$H:$H,$B23,Runs!$C:$C,"Gemini",Runs!$D:$D,"v2")</f>
        <v>0</v>
      </c>
      <c r="F23" s="13" t="n">
        <f aca="false">D23+E23</f>
        <v>0</v>
      </c>
      <c r="G23" s="13" t="str">
        <f aca="false">IF(AND(D23&gt;0,E23&gt;0),"yes","no")</f>
        <v>no</v>
      </c>
      <c r="H23" s="13" t="str">
        <f aca="false">IF($B23="","",IF(AND(D23&gt;=4,E23&gt;=4),"LOCKED",IF(AND(D23&gt;=2,E23&gt;=2),"CANDIDATE",IF(F23&lt;=2,"DISCARD","WEAK"))))</f>
        <v/>
      </c>
      <c r="I23" s="14" t="str">
        <f aca="false">IFERROR(ROUND(AVERAGEIFS(Runs!$K:$K,Runs!$B:$B,$A23,Runs!$H:$H,$B23,Runs!$D:$D,"v2"),0),"")</f>
        <v/>
      </c>
      <c r="J23" s="8"/>
      <c r="K23" s="15"/>
    </row>
    <row r="24" customFormat="false" ht="15" hidden="false" customHeight="true" outlineLevel="0" collapsed="false">
      <c r="A24" s="12"/>
      <c r="B24" s="12"/>
      <c r="C24" s="12"/>
      <c r="D24" s="13" t="n">
        <f aca="false">COUNTIFS(Runs!$B:$B,$A24,Runs!$H:$H,$B24,Runs!$C:$C,"ChatGPT",Runs!$D:$D,"v2")</f>
        <v>0</v>
      </c>
      <c r="E24" s="13" t="n">
        <f aca="false">COUNTIFS(Runs!$B:$B,$A24,Runs!$H:$H,$B24,Runs!$C:$C,"Gemini",Runs!$D:$D,"v2")</f>
        <v>0</v>
      </c>
      <c r="F24" s="13" t="n">
        <f aca="false">D24+E24</f>
        <v>0</v>
      </c>
      <c r="G24" s="13" t="str">
        <f aca="false">IF(AND(D24&gt;0,E24&gt;0),"yes","no")</f>
        <v>no</v>
      </c>
      <c r="H24" s="13" t="str">
        <f aca="false">IF($B24="","",IF(AND(D24&gt;=4,E24&gt;=4),"LOCKED",IF(AND(D24&gt;=2,E24&gt;=2),"CANDIDATE",IF(F24&lt;=2,"DISCARD","WEAK"))))</f>
        <v/>
      </c>
      <c r="I24" s="14" t="str">
        <f aca="false">IFERROR(ROUND(AVERAGEIFS(Runs!$K:$K,Runs!$B:$B,$A24,Runs!$H:$H,$B24,Runs!$D:$D,"v2"),0),"")</f>
        <v/>
      </c>
      <c r="J24" s="8"/>
      <c r="K24" s="15"/>
    </row>
    <row r="25" customFormat="false" ht="15" hidden="false" customHeight="true" outlineLevel="0" collapsed="false">
      <c r="A25" s="12"/>
      <c r="B25" s="12"/>
      <c r="C25" s="12"/>
      <c r="D25" s="13" t="n">
        <f aca="false">COUNTIFS(Runs!$B:$B,$A25,Runs!$H:$H,$B25,Runs!$C:$C,"ChatGPT",Runs!$D:$D,"v2")</f>
        <v>0</v>
      </c>
      <c r="E25" s="13" t="n">
        <f aca="false">COUNTIFS(Runs!$B:$B,$A25,Runs!$H:$H,$B25,Runs!$C:$C,"Gemini",Runs!$D:$D,"v2")</f>
        <v>0</v>
      </c>
      <c r="F25" s="13" t="n">
        <f aca="false">D25+E25</f>
        <v>0</v>
      </c>
      <c r="G25" s="13" t="str">
        <f aca="false">IF(AND(D25&gt;0,E25&gt;0),"yes","no")</f>
        <v>no</v>
      </c>
      <c r="H25" s="13" t="str">
        <f aca="false">IF($B25="","",IF(AND(D25&gt;=4,E25&gt;=4),"LOCKED",IF(AND(D25&gt;=2,E25&gt;=2),"CANDIDATE",IF(F25&lt;=2,"DISCARD","WEAK"))))</f>
        <v/>
      </c>
      <c r="I25" s="14" t="str">
        <f aca="false">IFERROR(ROUND(AVERAGEIFS(Runs!$K:$K,Runs!$B:$B,$A25,Runs!$H:$H,$B25,Runs!$D:$D,"v2"),0),"")</f>
        <v/>
      </c>
      <c r="J25" s="8"/>
      <c r="K25" s="15"/>
    </row>
    <row r="26" customFormat="false" ht="15" hidden="false" customHeight="true" outlineLevel="0" collapsed="false">
      <c r="A26" s="12"/>
      <c r="B26" s="12"/>
      <c r="C26" s="12"/>
      <c r="D26" s="13" t="n">
        <f aca="false">COUNTIFS(Runs!$B:$B,$A26,Runs!$H:$H,$B26,Runs!$C:$C,"ChatGPT",Runs!$D:$D,"v2")</f>
        <v>0</v>
      </c>
      <c r="E26" s="13" t="n">
        <f aca="false">COUNTIFS(Runs!$B:$B,$A26,Runs!$H:$H,$B26,Runs!$C:$C,"Gemini",Runs!$D:$D,"v2")</f>
        <v>0</v>
      </c>
      <c r="F26" s="13" t="n">
        <f aca="false">D26+E26</f>
        <v>0</v>
      </c>
      <c r="G26" s="13" t="str">
        <f aca="false">IF(AND(D26&gt;0,E26&gt;0),"yes","no")</f>
        <v>no</v>
      </c>
      <c r="H26" s="13" t="str">
        <f aca="false">IF($B26="","",IF(AND(D26&gt;=4,E26&gt;=4),"LOCKED",IF(AND(D26&gt;=2,E26&gt;=2),"CANDIDATE",IF(F26&lt;=2,"DISCARD","WEAK"))))</f>
        <v/>
      </c>
      <c r="I26" s="14" t="str">
        <f aca="false">IFERROR(ROUND(AVERAGEIFS(Runs!$K:$K,Runs!$B:$B,$A26,Runs!$H:$H,$B26,Runs!$D:$D,"v2"),0),"")</f>
        <v/>
      </c>
      <c r="J26" s="8"/>
      <c r="K26" s="15"/>
    </row>
    <row r="27" customFormat="false" ht="15" hidden="false" customHeight="true" outlineLevel="0" collapsed="false">
      <c r="A27" s="12"/>
      <c r="B27" s="12"/>
      <c r="C27" s="12"/>
      <c r="D27" s="13" t="n">
        <f aca="false">COUNTIFS(Runs!$B:$B,$A27,Runs!$H:$H,$B27,Runs!$C:$C,"ChatGPT",Runs!$D:$D,"v2")</f>
        <v>0</v>
      </c>
      <c r="E27" s="13" t="n">
        <f aca="false">COUNTIFS(Runs!$B:$B,$A27,Runs!$H:$H,$B27,Runs!$C:$C,"Gemini",Runs!$D:$D,"v2")</f>
        <v>0</v>
      </c>
      <c r="F27" s="13" t="n">
        <f aca="false">D27+E27</f>
        <v>0</v>
      </c>
      <c r="G27" s="13" t="str">
        <f aca="false">IF(AND(D27&gt;0,E27&gt;0),"yes","no")</f>
        <v>no</v>
      </c>
      <c r="H27" s="13" t="str">
        <f aca="false">IF($B27="","",IF(AND(D27&gt;=4,E27&gt;=4),"LOCKED",IF(AND(D27&gt;=2,E27&gt;=2),"CANDIDATE",IF(F27&lt;=2,"DISCARD","WEAK"))))</f>
        <v/>
      </c>
      <c r="I27" s="14" t="str">
        <f aca="false">IFERROR(ROUND(AVERAGEIFS(Runs!$K:$K,Runs!$B:$B,$A27,Runs!$H:$H,$B27,Runs!$D:$D,"v2"),0),"")</f>
        <v/>
      </c>
      <c r="J27" s="8"/>
      <c r="K27" s="15"/>
    </row>
    <row r="28" customFormat="false" ht="15" hidden="false" customHeight="true" outlineLevel="0" collapsed="false">
      <c r="A28" s="12"/>
      <c r="B28" s="12"/>
      <c r="C28" s="12"/>
      <c r="D28" s="13" t="n">
        <f aca="false">COUNTIFS(Runs!$B:$B,$A28,Runs!$H:$H,$B28,Runs!$C:$C,"ChatGPT",Runs!$D:$D,"v2")</f>
        <v>0</v>
      </c>
      <c r="E28" s="13" t="n">
        <f aca="false">COUNTIFS(Runs!$B:$B,$A28,Runs!$H:$H,$B28,Runs!$C:$C,"Gemini",Runs!$D:$D,"v2")</f>
        <v>0</v>
      </c>
      <c r="F28" s="13" t="n">
        <f aca="false">D28+E28</f>
        <v>0</v>
      </c>
      <c r="G28" s="13" t="str">
        <f aca="false">IF(AND(D28&gt;0,E28&gt;0),"yes","no")</f>
        <v>no</v>
      </c>
      <c r="H28" s="13" t="str">
        <f aca="false">IF($B28="","",IF(AND(D28&gt;=4,E28&gt;=4),"LOCKED",IF(AND(D28&gt;=2,E28&gt;=2),"CANDIDATE",IF(F28&lt;=2,"DISCARD","WEAK"))))</f>
        <v/>
      </c>
      <c r="I28" s="14" t="str">
        <f aca="false">IFERROR(ROUND(AVERAGEIFS(Runs!$K:$K,Runs!$B:$B,$A28,Runs!$H:$H,$B28,Runs!$D:$D,"v2"),0),"")</f>
        <v/>
      </c>
      <c r="J28" s="8"/>
      <c r="K28" s="15"/>
    </row>
    <row r="29" customFormat="false" ht="15" hidden="false" customHeight="true" outlineLevel="0" collapsed="false">
      <c r="A29" s="12"/>
      <c r="B29" s="12"/>
      <c r="C29" s="12"/>
      <c r="D29" s="13" t="n">
        <f aca="false">COUNTIFS(Runs!$B:$B,$A29,Runs!$H:$H,$B29,Runs!$C:$C,"ChatGPT",Runs!$D:$D,"v2")</f>
        <v>0</v>
      </c>
      <c r="E29" s="13" t="n">
        <f aca="false">COUNTIFS(Runs!$B:$B,$A29,Runs!$H:$H,$B29,Runs!$C:$C,"Gemini",Runs!$D:$D,"v2")</f>
        <v>0</v>
      </c>
      <c r="F29" s="13" t="n">
        <f aca="false">D29+E29</f>
        <v>0</v>
      </c>
      <c r="G29" s="13" t="str">
        <f aca="false">IF(AND(D29&gt;0,E29&gt;0),"yes","no")</f>
        <v>no</v>
      </c>
      <c r="H29" s="13" t="str">
        <f aca="false">IF($B29="","",IF(AND(D29&gt;=4,E29&gt;=4),"LOCKED",IF(AND(D29&gt;=2,E29&gt;=2),"CANDIDATE",IF(F29&lt;=2,"DISCARD","WEAK"))))</f>
        <v/>
      </c>
      <c r="I29" s="14" t="str">
        <f aca="false">IFERROR(ROUND(AVERAGEIFS(Runs!$K:$K,Runs!$B:$B,$A29,Runs!$H:$H,$B29,Runs!$D:$D,"v2"),0),"")</f>
        <v/>
      </c>
      <c r="J29" s="8"/>
      <c r="K29" s="15"/>
    </row>
    <row r="30" customFormat="false" ht="15" hidden="false" customHeight="true" outlineLevel="0" collapsed="false">
      <c r="A30" s="12"/>
      <c r="B30" s="12"/>
      <c r="C30" s="12"/>
      <c r="D30" s="13" t="n">
        <f aca="false">COUNTIFS(Runs!$B:$B,$A30,Runs!$H:$H,$B30,Runs!$C:$C,"ChatGPT",Runs!$D:$D,"v2")</f>
        <v>0</v>
      </c>
      <c r="E30" s="13" t="n">
        <f aca="false">COUNTIFS(Runs!$B:$B,$A30,Runs!$H:$H,$B30,Runs!$C:$C,"Gemini",Runs!$D:$D,"v2")</f>
        <v>0</v>
      </c>
      <c r="F30" s="13" t="n">
        <f aca="false">D30+E30</f>
        <v>0</v>
      </c>
      <c r="G30" s="13" t="str">
        <f aca="false">IF(AND(D30&gt;0,E30&gt;0),"yes","no")</f>
        <v>no</v>
      </c>
      <c r="H30" s="13" t="str">
        <f aca="false">IF($B30="","",IF(AND(D30&gt;=4,E30&gt;=4),"LOCKED",IF(AND(D30&gt;=2,E30&gt;=2),"CANDIDATE",IF(F30&lt;=2,"DISCARD","WEAK"))))</f>
        <v/>
      </c>
      <c r="I30" s="14" t="str">
        <f aca="false">IFERROR(ROUND(AVERAGEIFS(Runs!$K:$K,Runs!$B:$B,$A30,Runs!$H:$H,$B30,Runs!$D:$D,"v2"),0),"")</f>
        <v/>
      </c>
      <c r="J30" s="8"/>
      <c r="K30" s="15"/>
    </row>
    <row r="31" customFormat="false" ht="15" hidden="false" customHeight="true" outlineLevel="0" collapsed="false">
      <c r="A31" s="12"/>
      <c r="B31" s="12"/>
      <c r="C31" s="12"/>
      <c r="D31" s="13" t="n">
        <f aca="false">COUNTIFS(Runs!$B:$B,$A31,Runs!$H:$H,$B31,Runs!$C:$C,"ChatGPT",Runs!$D:$D,"v2")</f>
        <v>0</v>
      </c>
      <c r="E31" s="13" t="n">
        <f aca="false">COUNTIFS(Runs!$B:$B,$A31,Runs!$H:$H,$B31,Runs!$C:$C,"Gemini",Runs!$D:$D,"v2")</f>
        <v>0</v>
      </c>
      <c r="F31" s="13" t="n">
        <f aca="false">D31+E31</f>
        <v>0</v>
      </c>
      <c r="G31" s="13" t="str">
        <f aca="false">IF(AND(D31&gt;0,E31&gt;0),"yes","no")</f>
        <v>no</v>
      </c>
      <c r="H31" s="13" t="str">
        <f aca="false">IF($B31="","",IF(AND(D31&gt;=4,E31&gt;=4),"LOCKED",IF(AND(D31&gt;=2,E31&gt;=2),"CANDIDATE",IF(F31&lt;=2,"DISCARD","WEAK"))))</f>
        <v/>
      </c>
      <c r="I31" s="14" t="str">
        <f aca="false">IFERROR(ROUND(AVERAGEIFS(Runs!$K:$K,Runs!$B:$B,$A31,Runs!$H:$H,$B31,Runs!$D:$D,"v2"),0),"")</f>
        <v/>
      </c>
      <c r="J31" s="8"/>
      <c r="K31" s="15"/>
    </row>
    <row r="32" customFormat="false" ht="15" hidden="false" customHeight="true" outlineLevel="0" collapsed="false">
      <c r="A32" s="12"/>
      <c r="B32" s="12"/>
      <c r="C32" s="12"/>
      <c r="D32" s="13" t="n">
        <f aca="false">COUNTIFS(Runs!$B:$B,$A32,Runs!$H:$H,$B32,Runs!$C:$C,"ChatGPT",Runs!$D:$D,"v2")</f>
        <v>0</v>
      </c>
      <c r="E32" s="13" t="n">
        <f aca="false">COUNTIFS(Runs!$B:$B,$A32,Runs!$H:$H,$B32,Runs!$C:$C,"Gemini",Runs!$D:$D,"v2")</f>
        <v>0</v>
      </c>
      <c r="F32" s="13" t="n">
        <f aca="false">D32+E32</f>
        <v>0</v>
      </c>
      <c r="G32" s="13" t="str">
        <f aca="false">IF(AND(D32&gt;0,E32&gt;0),"yes","no")</f>
        <v>no</v>
      </c>
      <c r="H32" s="13" t="str">
        <f aca="false">IF($B32="","",IF(AND(D32&gt;=4,E32&gt;=4),"LOCKED",IF(AND(D32&gt;=2,E32&gt;=2),"CANDIDATE",IF(F32&lt;=2,"DISCARD","WEAK"))))</f>
        <v/>
      </c>
      <c r="I32" s="14" t="str">
        <f aca="false">IFERROR(ROUND(AVERAGEIFS(Runs!$K:$K,Runs!$B:$B,$A32,Runs!$H:$H,$B32,Runs!$D:$D,"v2"),0),"")</f>
        <v/>
      </c>
      <c r="J32" s="8"/>
      <c r="K32" s="15"/>
    </row>
    <row r="33" customFormat="false" ht="15" hidden="false" customHeight="true" outlineLevel="0" collapsed="false">
      <c r="A33" s="12"/>
      <c r="B33" s="12"/>
      <c r="C33" s="12"/>
      <c r="D33" s="13" t="n">
        <f aca="false">COUNTIFS(Runs!$B:$B,$A33,Runs!$H:$H,$B33,Runs!$C:$C,"ChatGPT",Runs!$D:$D,"v2")</f>
        <v>0</v>
      </c>
      <c r="E33" s="13" t="n">
        <f aca="false">COUNTIFS(Runs!$B:$B,$A33,Runs!$H:$H,$B33,Runs!$C:$C,"Gemini",Runs!$D:$D,"v2")</f>
        <v>0</v>
      </c>
      <c r="F33" s="13" t="n">
        <f aca="false">D33+E33</f>
        <v>0</v>
      </c>
      <c r="G33" s="13" t="str">
        <f aca="false">IF(AND(D33&gt;0,E33&gt;0),"yes","no")</f>
        <v>no</v>
      </c>
      <c r="H33" s="13" t="str">
        <f aca="false">IF($B33="","",IF(AND(D33&gt;=4,E33&gt;=4),"LOCKED",IF(AND(D33&gt;=2,E33&gt;=2),"CANDIDATE",IF(F33&lt;=2,"DISCARD","WEAK"))))</f>
        <v/>
      </c>
      <c r="I33" s="14" t="str">
        <f aca="false">IFERROR(ROUND(AVERAGEIFS(Runs!$K:$K,Runs!$B:$B,$A33,Runs!$H:$H,$B33,Runs!$D:$D,"v2"),0),"")</f>
        <v/>
      </c>
      <c r="J33" s="8"/>
      <c r="K33" s="15"/>
    </row>
    <row r="34" customFormat="false" ht="15" hidden="false" customHeight="true" outlineLevel="0" collapsed="false">
      <c r="A34" s="12"/>
      <c r="B34" s="12"/>
      <c r="C34" s="12"/>
      <c r="D34" s="13" t="n">
        <f aca="false">COUNTIFS(Runs!$B:$B,$A34,Runs!$H:$H,$B34,Runs!$C:$C,"ChatGPT",Runs!$D:$D,"v2")</f>
        <v>0</v>
      </c>
      <c r="E34" s="13" t="n">
        <f aca="false">COUNTIFS(Runs!$B:$B,$A34,Runs!$H:$H,$B34,Runs!$C:$C,"Gemini",Runs!$D:$D,"v2")</f>
        <v>0</v>
      </c>
      <c r="F34" s="13" t="n">
        <f aca="false">D34+E34</f>
        <v>0</v>
      </c>
      <c r="G34" s="13" t="str">
        <f aca="false">IF(AND(D34&gt;0,E34&gt;0),"yes","no")</f>
        <v>no</v>
      </c>
      <c r="H34" s="13" t="str">
        <f aca="false">IF($B34="","",IF(AND(D34&gt;=4,E34&gt;=4),"LOCKED",IF(AND(D34&gt;=2,E34&gt;=2),"CANDIDATE",IF(F34&lt;=2,"DISCARD","WEAK"))))</f>
        <v/>
      </c>
      <c r="I34" s="14" t="str">
        <f aca="false">IFERROR(ROUND(AVERAGEIFS(Runs!$K:$K,Runs!$B:$B,$A34,Runs!$H:$H,$B34,Runs!$D:$D,"v2"),0),"")</f>
        <v/>
      </c>
      <c r="J34" s="8"/>
      <c r="K34" s="15"/>
    </row>
    <row r="35" customFormat="false" ht="15" hidden="false" customHeight="true" outlineLevel="0" collapsed="false">
      <c r="A35" s="12"/>
      <c r="B35" s="12"/>
      <c r="C35" s="12"/>
      <c r="D35" s="13" t="n">
        <f aca="false">COUNTIFS(Runs!$B:$B,$A35,Runs!$H:$H,$B35,Runs!$C:$C,"ChatGPT",Runs!$D:$D,"v2")</f>
        <v>0</v>
      </c>
      <c r="E35" s="13" t="n">
        <f aca="false">COUNTIFS(Runs!$B:$B,$A35,Runs!$H:$H,$B35,Runs!$C:$C,"Gemini",Runs!$D:$D,"v2")</f>
        <v>0</v>
      </c>
      <c r="F35" s="13" t="n">
        <f aca="false">D35+E35</f>
        <v>0</v>
      </c>
      <c r="G35" s="13" t="str">
        <f aca="false">IF(AND(D35&gt;0,E35&gt;0),"yes","no")</f>
        <v>no</v>
      </c>
      <c r="H35" s="13" t="str">
        <f aca="false">IF($B35="","",IF(AND(D35&gt;=4,E35&gt;=4),"LOCKED",IF(AND(D35&gt;=2,E35&gt;=2),"CANDIDATE",IF(F35&lt;=2,"DISCARD","WEAK"))))</f>
        <v/>
      </c>
      <c r="I35" s="14" t="str">
        <f aca="false">IFERROR(ROUND(AVERAGEIFS(Runs!$K:$K,Runs!$B:$B,$A35,Runs!$H:$H,$B35,Runs!$D:$D,"v2"),0),"")</f>
        <v/>
      </c>
      <c r="J35" s="8"/>
      <c r="K35" s="15"/>
    </row>
    <row r="36" customFormat="false" ht="15" hidden="false" customHeight="true" outlineLevel="0" collapsed="false">
      <c r="A36" s="12"/>
      <c r="B36" s="12"/>
      <c r="C36" s="12"/>
      <c r="D36" s="13" t="n">
        <f aca="false">COUNTIFS(Runs!$B:$B,$A36,Runs!$H:$H,$B36,Runs!$C:$C,"ChatGPT",Runs!$D:$D,"v2")</f>
        <v>0</v>
      </c>
      <c r="E36" s="13" t="n">
        <f aca="false">COUNTIFS(Runs!$B:$B,$A36,Runs!$H:$H,$B36,Runs!$C:$C,"Gemini",Runs!$D:$D,"v2")</f>
        <v>0</v>
      </c>
      <c r="F36" s="13" t="n">
        <f aca="false">D36+E36</f>
        <v>0</v>
      </c>
      <c r="G36" s="13" t="str">
        <f aca="false">IF(AND(D36&gt;0,E36&gt;0),"yes","no")</f>
        <v>no</v>
      </c>
      <c r="H36" s="13" t="str">
        <f aca="false">IF($B36="","",IF(AND(D36&gt;=4,E36&gt;=4),"LOCKED",IF(AND(D36&gt;=2,E36&gt;=2),"CANDIDATE",IF(F36&lt;=2,"DISCARD","WEAK"))))</f>
        <v/>
      </c>
      <c r="I36" s="14" t="str">
        <f aca="false">IFERROR(ROUND(AVERAGEIFS(Runs!$K:$K,Runs!$B:$B,$A36,Runs!$H:$H,$B36,Runs!$D:$D,"v2"),0),"")</f>
        <v/>
      </c>
      <c r="J36" s="8"/>
      <c r="K36" s="15"/>
    </row>
    <row r="37" customFormat="false" ht="15" hidden="false" customHeight="true" outlineLevel="0" collapsed="false">
      <c r="A37" s="12"/>
      <c r="B37" s="12"/>
      <c r="C37" s="12"/>
      <c r="D37" s="13" t="n">
        <f aca="false">COUNTIFS(Runs!$B:$B,$A37,Runs!$H:$H,$B37,Runs!$C:$C,"ChatGPT",Runs!$D:$D,"v2")</f>
        <v>0</v>
      </c>
      <c r="E37" s="13" t="n">
        <f aca="false">COUNTIFS(Runs!$B:$B,$A37,Runs!$H:$H,$B37,Runs!$C:$C,"Gemini",Runs!$D:$D,"v2")</f>
        <v>0</v>
      </c>
      <c r="F37" s="13" t="n">
        <f aca="false">D37+E37</f>
        <v>0</v>
      </c>
      <c r="G37" s="13" t="str">
        <f aca="false">IF(AND(D37&gt;0,E37&gt;0),"yes","no")</f>
        <v>no</v>
      </c>
      <c r="H37" s="13" t="str">
        <f aca="false">IF($B37="","",IF(AND(D37&gt;=4,E37&gt;=4),"LOCKED",IF(AND(D37&gt;=2,E37&gt;=2),"CANDIDATE",IF(F37&lt;=2,"DISCARD","WEAK"))))</f>
        <v/>
      </c>
      <c r="I37" s="14" t="str">
        <f aca="false">IFERROR(ROUND(AVERAGEIFS(Runs!$K:$K,Runs!$B:$B,$A37,Runs!$H:$H,$B37,Runs!$D:$D,"v2"),0),"")</f>
        <v/>
      </c>
      <c r="J37" s="8"/>
      <c r="K37" s="15"/>
    </row>
    <row r="38" customFormat="false" ht="15" hidden="false" customHeight="true" outlineLevel="0" collapsed="false">
      <c r="A38" s="12"/>
      <c r="B38" s="12"/>
      <c r="C38" s="12"/>
      <c r="D38" s="13" t="n">
        <f aca="false">COUNTIFS(Runs!$B:$B,$A38,Runs!$H:$H,$B38,Runs!$C:$C,"ChatGPT",Runs!$D:$D,"v2")</f>
        <v>0</v>
      </c>
      <c r="E38" s="13" t="n">
        <f aca="false">COUNTIFS(Runs!$B:$B,$A38,Runs!$H:$H,$B38,Runs!$C:$C,"Gemini",Runs!$D:$D,"v2")</f>
        <v>0</v>
      </c>
      <c r="F38" s="13" t="n">
        <f aca="false">D38+E38</f>
        <v>0</v>
      </c>
      <c r="G38" s="13" t="str">
        <f aca="false">IF(AND(D38&gt;0,E38&gt;0),"yes","no")</f>
        <v>no</v>
      </c>
      <c r="H38" s="13" t="str">
        <f aca="false">IF($B38="","",IF(AND(D38&gt;=4,E38&gt;=4),"LOCKED",IF(AND(D38&gt;=2,E38&gt;=2),"CANDIDATE",IF(F38&lt;=2,"DISCARD","WEAK"))))</f>
        <v/>
      </c>
      <c r="I38" s="14" t="str">
        <f aca="false">IFERROR(ROUND(AVERAGEIFS(Runs!$K:$K,Runs!$B:$B,$A38,Runs!$H:$H,$B38,Runs!$D:$D,"v2"),0),"")</f>
        <v/>
      </c>
      <c r="J38" s="8"/>
      <c r="K38" s="15"/>
    </row>
    <row r="39" customFormat="false" ht="15" hidden="false" customHeight="true" outlineLevel="0" collapsed="false">
      <c r="A39" s="12"/>
      <c r="B39" s="12"/>
      <c r="C39" s="12"/>
      <c r="D39" s="13" t="n">
        <f aca="false">COUNTIFS(Runs!$B:$B,$A39,Runs!$H:$H,$B39,Runs!$C:$C,"ChatGPT",Runs!$D:$D,"v2")</f>
        <v>0</v>
      </c>
      <c r="E39" s="13" t="n">
        <f aca="false">COUNTIFS(Runs!$B:$B,$A39,Runs!$H:$H,$B39,Runs!$C:$C,"Gemini",Runs!$D:$D,"v2")</f>
        <v>0</v>
      </c>
      <c r="F39" s="13" t="n">
        <f aca="false">D39+E39</f>
        <v>0</v>
      </c>
      <c r="G39" s="13" t="str">
        <f aca="false">IF(AND(D39&gt;0,E39&gt;0),"yes","no")</f>
        <v>no</v>
      </c>
      <c r="H39" s="13" t="str">
        <f aca="false">IF($B39="","",IF(AND(D39&gt;=4,E39&gt;=4),"LOCKED",IF(AND(D39&gt;=2,E39&gt;=2),"CANDIDATE",IF(F39&lt;=2,"DISCARD","WEAK"))))</f>
        <v/>
      </c>
      <c r="I39" s="14" t="str">
        <f aca="false">IFERROR(ROUND(AVERAGEIFS(Runs!$K:$K,Runs!$B:$B,$A39,Runs!$H:$H,$B39,Runs!$D:$D,"v2"),0),"")</f>
        <v/>
      </c>
      <c r="J39" s="8"/>
      <c r="K39" s="15"/>
    </row>
    <row r="40" customFormat="false" ht="15" hidden="false" customHeight="true" outlineLevel="0" collapsed="false">
      <c r="A40" s="12"/>
      <c r="B40" s="12"/>
      <c r="C40" s="12"/>
      <c r="D40" s="13" t="n">
        <f aca="false">COUNTIFS(Runs!$B:$B,$A40,Runs!$H:$H,$B40,Runs!$C:$C,"ChatGPT",Runs!$D:$D,"v2")</f>
        <v>0</v>
      </c>
      <c r="E40" s="13" t="n">
        <f aca="false">COUNTIFS(Runs!$B:$B,$A40,Runs!$H:$H,$B40,Runs!$C:$C,"Gemini",Runs!$D:$D,"v2")</f>
        <v>0</v>
      </c>
      <c r="F40" s="13" t="n">
        <f aca="false">D40+E40</f>
        <v>0</v>
      </c>
      <c r="G40" s="13" t="str">
        <f aca="false">IF(AND(D40&gt;0,E40&gt;0),"yes","no")</f>
        <v>no</v>
      </c>
      <c r="H40" s="13" t="str">
        <f aca="false">IF($B40="","",IF(AND(D40&gt;=4,E40&gt;=4),"LOCKED",IF(AND(D40&gt;=2,E40&gt;=2),"CANDIDATE",IF(F40&lt;=2,"DISCARD","WEAK"))))</f>
        <v/>
      </c>
      <c r="I40" s="14" t="str">
        <f aca="false">IFERROR(ROUND(AVERAGEIFS(Runs!$K:$K,Runs!$B:$B,$A40,Runs!$H:$H,$B40,Runs!$D:$D,"v2"),0),"")</f>
        <v/>
      </c>
      <c r="J40" s="8"/>
      <c r="K40" s="15"/>
    </row>
    <row r="41" customFormat="false" ht="15" hidden="false" customHeight="true" outlineLevel="0" collapsed="false">
      <c r="A41" s="12"/>
      <c r="B41" s="12"/>
      <c r="C41" s="12"/>
      <c r="D41" s="13" t="n">
        <f aca="false">COUNTIFS(Runs!$B:$B,$A41,Runs!$H:$H,$B41,Runs!$C:$C,"ChatGPT",Runs!$D:$D,"v2")</f>
        <v>0</v>
      </c>
      <c r="E41" s="13" t="n">
        <f aca="false">COUNTIFS(Runs!$B:$B,$A41,Runs!$H:$H,$B41,Runs!$C:$C,"Gemini",Runs!$D:$D,"v2")</f>
        <v>0</v>
      </c>
      <c r="F41" s="13" t="n">
        <f aca="false">D41+E41</f>
        <v>0</v>
      </c>
      <c r="G41" s="13" t="str">
        <f aca="false">IF(AND(D41&gt;0,E41&gt;0),"yes","no")</f>
        <v>no</v>
      </c>
      <c r="H41" s="13" t="str">
        <f aca="false">IF($B41="","",IF(AND(D41&gt;=4,E41&gt;=4),"LOCKED",IF(AND(D41&gt;=2,E41&gt;=2),"CANDIDATE",IF(F41&lt;=2,"DISCARD","WEAK"))))</f>
        <v/>
      </c>
      <c r="I41" s="14" t="str">
        <f aca="false">IFERROR(ROUND(AVERAGEIFS(Runs!$K:$K,Runs!$B:$B,$A41,Runs!$H:$H,$B41,Runs!$D:$D,"v2"),0),"")</f>
        <v/>
      </c>
      <c r="J41" s="8"/>
      <c r="K41" s="15"/>
    </row>
    <row r="42" customFormat="false" ht="15" hidden="false" customHeight="true" outlineLevel="0" collapsed="false">
      <c r="A42" s="12"/>
      <c r="B42" s="12"/>
      <c r="C42" s="12"/>
      <c r="D42" s="13" t="n">
        <f aca="false">COUNTIFS(Runs!$B:$B,$A42,Runs!$H:$H,$B42,Runs!$C:$C,"ChatGPT",Runs!$D:$D,"v2")</f>
        <v>0</v>
      </c>
      <c r="E42" s="13" t="n">
        <f aca="false">COUNTIFS(Runs!$B:$B,$A42,Runs!$H:$H,$B42,Runs!$C:$C,"Gemini",Runs!$D:$D,"v2")</f>
        <v>0</v>
      </c>
      <c r="F42" s="13" t="n">
        <f aca="false">D42+E42</f>
        <v>0</v>
      </c>
      <c r="G42" s="13" t="str">
        <f aca="false">IF(AND(D42&gt;0,E42&gt;0),"yes","no")</f>
        <v>no</v>
      </c>
      <c r="H42" s="13" t="str">
        <f aca="false">IF($B42="","",IF(AND(D42&gt;=4,E42&gt;=4),"LOCKED",IF(AND(D42&gt;=2,E42&gt;=2),"CANDIDATE",IF(F42&lt;=2,"DISCARD","WEAK"))))</f>
        <v/>
      </c>
      <c r="I42" s="14" t="str">
        <f aca="false">IFERROR(ROUND(AVERAGEIFS(Runs!$K:$K,Runs!$B:$B,$A42,Runs!$H:$H,$B42,Runs!$D:$D,"v2"),0),"")</f>
        <v/>
      </c>
      <c r="J42" s="8"/>
      <c r="K42" s="15"/>
    </row>
    <row r="43" customFormat="false" ht="15" hidden="false" customHeight="true" outlineLevel="0" collapsed="false">
      <c r="A43" s="12"/>
      <c r="B43" s="12"/>
      <c r="C43" s="12"/>
      <c r="D43" s="13" t="n">
        <f aca="false">COUNTIFS(Runs!$B:$B,$A43,Runs!$H:$H,$B43,Runs!$C:$C,"ChatGPT",Runs!$D:$D,"v2")</f>
        <v>0</v>
      </c>
      <c r="E43" s="13" t="n">
        <f aca="false">COUNTIFS(Runs!$B:$B,$A43,Runs!$H:$H,$B43,Runs!$C:$C,"Gemini",Runs!$D:$D,"v2")</f>
        <v>0</v>
      </c>
      <c r="F43" s="13" t="n">
        <f aca="false">D43+E43</f>
        <v>0</v>
      </c>
      <c r="G43" s="13" t="str">
        <f aca="false">IF(AND(D43&gt;0,E43&gt;0),"yes","no")</f>
        <v>no</v>
      </c>
      <c r="H43" s="13" t="str">
        <f aca="false">IF($B43="","",IF(AND(D43&gt;=4,E43&gt;=4),"LOCKED",IF(AND(D43&gt;=2,E43&gt;=2),"CANDIDATE",IF(F43&lt;=2,"DISCARD","WEAK"))))</f>
        <v/>
      </c>
      <c r="I43" s="14" t="str">
        <f aca="false">IFERROR(ROUND(AVERAGEIFS(Runs!$K:$K,Runs!$B:$B,$A43,Runs!$H:$H,$B43,Runs!$D:$D,"v2"),0),"")</f>
        <v/>
      </c>
      <c r="J43" s="8"/>
      <c r="K43" s="15"/>
    </row>
    <row r="44" customFormat="false" ht="15" hidden="false" customHeight="true" outlineLevel="0" collapsed="false">
      <c r="A44" s="12"/>
      <c r="B44" s="12"/>
      <c r="C44" s="12"/>
      <c r="D44" s="13" t="n">
        <f aca="false">COUNTIFS(Runs!$B:$B,$A44,Runs!$H:$H,$B44,Runs!$C:$C,"ChatGPT",Runs!$D:$D,"v2")</f>
        <v>0</v>
      </c>
      <c r="E44" s="13" t="n">
        <f aca="false">COUNTIFS(Runs!$B:$B,$A44,Runs!$H:$H,$B44,Runs!$C:$C,"Gemini",Runs!$D:$D,"v2")</f>
        <v>0</v>
      </c>
      <c r="F44" s="13" t="n">
        <f aca="false">D44+E44</f>
        <v>0</v>
      </c>
      <c r="G44" s="13" t="str">
        <f aca="false">IF(AND(D44&gt;0,E44&gt;0),"yes","no")</f>
        <v>no</v>
      </c>
      <c r="H44" s="13" t="str">
        <f aca="false">IF($B44="","",IF(AND(D44&gt;=4,E44&gt;=4),"LOCKED",IF(AND(D44&gt;=2,E44&gt;=2),"CANDIDATE",IF(F44&lt;=2,"DISCARD","WEAK"))))</f>
        <v/>
      </c>
      <c r="I44" s="14" t="str">
        <f aca="false">IFERROR(ROUND(AVERAGEIFS(Runs!$K:$K,Runs!$B:$B,$A44,Runs!$H:$H,$B44,Runs!$D:$D,"v2"),0),"")</f>
        <v/>
      </c>
      <c r="J44" s="8"/>
      <c r="K44" s="15"/>
    </row>
    <row r="45" customFormat="false" ht="15" hidden="false" customHeight="true" outlineLevel="0" collapsed="false">
      <c r="A45" s="12"/>
      <c r="B45" s="12"/>
      <c r="C45" s="12"/>
      <c r="D45" s="13" t="n">
        <f aca="false">COUNTIFS(Runs!$B:$B,$A45,Runs!$H:$H,$B45,Runs!$C:$C,"ChatGPT",Runs!$D:$D,"v2")</f>
        <v>0</v>
      </c>
      <c r="E45" s="13" t="n">
        <f aca="false">COUNTIFS(Runs!$B:$B,$A45,Runs!$H:$H,$B45,Runs!$C:$C,"Gemini",Runs!$D:$D,"v2")</f>
        <v>0</v>
      </c>
      <c r="F45" s="13" t="n">
        <f aca="false">D45+E45</f>
        <v>0</v>
      </c>
      <c r="G45" s="13" t="str">
        <f aca="false">IF(AND(D45&gt;0,E45&gt;0),"yes","no")</f>
        <v>no</v>
      </c>
      <c r="H45" s="13" t="str">
        <f aca="false">IF($B45="","",IF(AND(D45&gt;=4,E45&gt;=4),"LOCKED",IF(AND(D45&gt;=2,E45&gt;=2),"CANDIDATE",IF(F45&lt;=2,"DISCARD","WEAK"))))</f>
        <v/>
      </c>
      <c r="I45" s="14" t="str">
        <f aca="false">IFERROR(ROUND(AVERAGEIFS(Runs!$K:$K,Runs!$B:$B,$A45,Runs!$H:$H,$B45,Runs!$D:$D,"v2"),0),"")</f>
        <v/>
      </c>
      <c r="J45" s="8"/>
      <c r="K45" s="15"/>
    </row>
    <row r="46" customFormat="false" ht="15" hidden="false" customHeight="true" outlineLevel="0" collapsed="false">
      <c r="A46" s="12"/>
      <c r="B46" s="12"/>
      <c r="C46" s="12"/>
      <c r="D46" s="13" t="n">
        <f aca="false">COUNTIFS(Runs!$B:$B,$A46,Runs!$H:$H,$B46,Runs!$C:$C,"ChatGPT",Runs!$D:$D,"v2")</f>
        <v>0</v>
      </c>
      <c r="E46" s="13" t="n">
        <f aca="false">COUNTIFS(Runs!$B:$B,$A46,Runs!$H:$H,$B46,Runs!$C:$C,"Gemini",Runs!$D:$D,"v2")</f>
        <v>0</v>
      </c>
      <c r="F46" s="13" t="n">
        <f aca="false">D46+E46</f>
        <v>0</v>
      </c>
      <c r="G46" s="13" t="str">
        <f aca="false">IF(AND(D46&gt;0,E46&gt;0),"yes","no")</f>
        <v>no</v>
      </c>
      <c r="H46" s="13" t="str">
        <f aca="false">IF($B46="","",IF(AND(D46&gt;=4,E46&gt;=4),"LOCKED",IF(AND(D46&gt;=2,E46&gt;=2),"CANDIDATE",IF(F46&lt;=2,"DISCARD","WEAK"))))</f>
        <v/>
      </c>
      <c r="I46" s="14" t="str">
        <f aca="false">IFERROR(ROUND(AVERAGEIFS(Runs!$K:$K,Runs!$B:$B,$A46,Runs!$H:$H,$B46,Runs!$D:$D,"v2"),0),"")</f>
        <v/>
      </c>
      <c r="J46" s="8"/>
      <c r="K46" s="15"/>
    </row>
    <row r="47" customFormat="false" ht="15" hidden="false" customHeight="true" outlineLevel="0" collapsed="false">
      <c r="A47" s="12"/>
      <c r="B47" s="12"/>
      <c r="C47" s="12"/>
      <c r="D47" s="13" t="n">
        <f aca="false">COUNTIFS(Runs!$B:$B,$A47,Runs!$H:$H,$B47,Runs!$C:$C,"ChatGPT",Runs!$D:$D,"v2")</f>
        <v>0</v>
      </c>
      <c r="E47" s="13" t="n">
        <f aca="false">COUNTIFS(Runs!$B:$B,$A47,Runs!$H:$H,$B47,Runs!$C:$C,"Gemini",Runs!$D:$D,"v2")</f>
        <v>0</v>
      </c>
      <c r="F47" s="13" t="n">
        <f aca="false">D47+E47</f>
        <v>0</v>
      </c>
      <c r="G47" s="13" t="str">
        <f aca="false">IF(AND(D47&gt;0,E47&gt;0),"yes","no")</f>
        <v>no</v>
      </c>
      <c r="H47" s="13" t="str">
        <f aca="false">IF($B47="","",IF(AND(D47&gt;=4,E47&gt;=4),"LOCKED",IF(AND(D47&gt;=2,E47&gt;=2),"CANDIDATE",IF(F47&lt;=2,"DISCARD","WEAK"))))</f>
        <v/>
      </c>
      <c r="I47" s="14" t="str">
        <f aca="false">IFERROR(ROUND(AVERAGEIFS(Runs!$K:$K,Runs!$B:$B,$A47,Runs!$H:$H,$B47,Runs!$D:$D,"v2"),0),"")</f>
        <v/>
      </c>
      <c r="J47" s="8"/>
      <c r="K47" s="15"/>
    </row>
    <row r="48" customFormat="false" ht="15" hidden="false" customHeight="true" outlineLevel="0" collapsed="false">
      <c r="A48" s="12"/>
      <c r="B48" s="12"/>
      <c r="C48" s="12"/>
      <c r="D48" s="13" t="n">
        <f aca="false">COUNTIFS(Runs!$B:$B,$A48,Runs!$H:$H,$B48,Runs!$C:$C,"ChatGPT",Runs!$D:$D,"v2")</f>
        <v>0</v>
      </c>
      <c r="E48" s="13" t="n">
        <f aca="false">COUNTIFS(Runs!$B:$B,$A48,Runs!$H:$H,$B48,Runs!$C:$C,"Gemini",Runs!$D:$D,"v2")</f>
        <v>0</v>
      </c>
      <c r="F48" s="13" t="n">
        <f aca="false">D48+E48</f>
        <v>0</v>
      </c>
      <c r="G48" s="13" t="str">
        <f aca="false">IF(AND(D48&gt;0,E48&gt;0),"yes","no")</f>
        <v>no</v>
      </c>
      <c r="H48" s="13" t="str">
        <f aca="false">IF($B48="","",IF(AND(D48&gt;=4,E48&gt;=4),"LOCKED",IF(AND(D48&gt;=2,E48&gt;=2),"CANDIDATE",IF(F48&lt;=2,"DISCARD","WEAK"))))</f>
        <v/>
      </c>
      <c r="I48" s="14" t="str">
        <f aca="false">IFERROR(ROUND(AVERAGEIFS(Runs!$K:$K,Runs!$B:$B,$A48,Runs!$H:$H,$B48,Runs!$D:$D,"v2"),0),"")</f>
        <v/>
      </c>
      <c r="J48" s="8"/>
      <c r="K48" s="15"/>
    </row>
    <row r="49" customFormat="false" ht="15" hidden="false" customHeight="true" outlineLevel="0" collapsed="false">
      <c r="A49" s="12"/>
      <c r="B49" s="12"/>
      <c r="C49" s="12"/>
      <c r="D49" s="13" t="n">
        <f aca="false">COUNTIFS(Runs!$B:$B,$A49,Runs!$H:$H,$B49,Runs!$C:$C,"ChatGPT",Runs!$D:$D,"v2")</f>
        <v>0</v>
      </c>
      <c r="E49" s="13" t="n">
        <f aca="false">COUNTIFS(Runs!$B:$B,$A49,Runs!$H:$H,$B49,Runs!$C:$C,"Gemini",Runs!$D:$D,"v2")</f>
        <v>0</v>
      </c>
      <c r="F49" s="13" t="n">
        <f aca="false">D49+E49</f>
        <v>0</v>
      </c>
      <c r="G49" s="13" t="str">
        <f aca="false">IF(AND(D49&gt;0,E49&gt;0),"yes","no")</f>
        <v>no</v>
      </c>
      <c r="H49" s="13" t="str">
        <f aca="false">IF($B49="","",IF(AND(D49&gt;=4,E49&gt;=4),"LOCKED",IF(AND(D49&gt;=2,E49&gt;=2),"CANDIDATE",IF(F49&lt;=2,"DISCARD","WEAK"))))</f>
        <v/>
      </c>
      <c r="I49" s="14" t="str">
        <f aca="false">IFERROR(ROUND(AVERAGEIFS(Runs!$K:$K,Runs!$B:$B,$A49,Runs!$H:$H,$B49,Runs!$D:$D,"v2"),0),"")</f>
        <v/>
      </c>
      <c r="J49" s="8"/>
      <c r="K49" s="15"/>
    </row>
    <row r="50" customFormat="false" ht="15" hidden="false" customHeight="true" outlineLevel="0" collapsed="false">
      <c r="A50" s="12"/>
      <c r="B50" s="12"/>
      <c r="C50" s="12"/>
      <c r="D50" s="13" t="n">
        <f aca="false">COUNTIFS(Runs!$B:$B,$A50,Runs!$H:$H,$B50,Runs!$C:$C,"ChatGPT",Runs!$D:$D,"v2")</f>
        <v>0</v>
      </c>
      <c r="E50" s="13" t="n">
        <f aca="false">COUNTIFS(Runs!$B:$B,$A50,Runs!$H:$H,$B50,Runs!$C:$C,"Gemini",Runs!$D:$D,"v2")</f>
        <v>0</v>
      </c>
      <c r="F50" s="13" t="n">
        <f aca="false">D50+E50</f>
        <v>0</v>
      </c>
      <c r="G50" s="13" t="str">
        <f aca="false">IF(AND(D50&gt;0,E50&gt;0),"yes","no")</f>
        <v>no</v>
      </c>
      <c r="H50" s="13" t="str">
        <f aca="false">IF($B50="","",IF(AND(D50&gt;=4,E50&gt;=4),"LOCKED",IF(AND(D50&gt;=2,E50&gt;=2),"CANDIDATE",IF(F50&lt;=2,"DISCARD","WEAK"))))</f>
        <v/>
      </c>
      <c r="I50" s="14" t="str">
        <f aca="false">IFERROR(ROUND(AVERAGEIFS(Runs!$K:$K,Runs!$B:$B,$A50,Runs!$H:$H,$B50,Runs!$D:$D,"v2"),0),"")</f>
        <v/>
      </c>
      <c r="J50" s="8"/>
      <c r="K50" s="15"/>
    </row>
    <row r="51" customFormat="false" ht="15" hidden="false" customHeight="true" outlineLevel="0" collapsed="false">
      <c r="A51" s="12"/>
      <c r="B51" s="12"/>
      <c r="C51" s="12"/>
      <c r="D51" s="13" t="n">
        <f aca="false">COUNTIFS(Runs!$B:$B,$A51,Runs!$H:$H,$B51,Runs!$C:$C,"ChatGPT",Runs!$D:$D,"v2")</f>
        <v>0</v>
      </c>
      <c r="E51" s="13" t="n">
        <f aca="false">COUNTIFS(Runs!$B:$B,$A51,Runs!$H:$H,$B51,Runs!$C:$C,"Gemini",Runs!$D:$D,"v2")</f>
        <v>0</v>
      </c>
      <c r="F51" s="13" t="n">
        <f aca="false">D51+E51</f>
        <v>0</v>
      </c>
      <c r="G51" s="13" t="str">
        <f aca="false">IF(AND(D51&gt;0,E51&gt;0),"yes","no")</f>
        <v>no</v>
      </c>
      <c r="H51" s="13" t="str">
        <f aca="false">IF($B51="","",IF(AND(D51&gt;=4,E51&gt;=4),"LOCKED",IF(AND(D51&gt;=2,E51&gt;=2),"CANDIDATE",IF(F51&lt;=2,"DISCARD","WEAK"))))</f>
        <v/>
      </c>
      <c r="I51" s="14" t="str">
        <f aca="false">IFERROR(ROUND(AVERAGEIFS(Runs!$K:$K,Runs!$B:$B,$A51,Runs!$H:$H,$B51,Runs!$D:$D,"v2"),0),"")</f>
        <v/>
      </c>
      <c r="J51" s="8"/>
      <c r="K51" s="15"/>
    </row>
    <row r="52" customFormat="false" ht="15" hidden="false" customHeight="true" outlineLevel="0" collapsed="false">
      <c r="A52" s="12"/>
      <c r="B52" s="12"/>
      <c r="C52" s="12"/>
      <c r="D52" s="13" t="n">
        <f aca="false">COUNTIFS(Runs!$B:$B,$A52,Runs!$H:$H,$B52,Runs!$C:$C,"ChatGPT",Runs!$D:$D,"v2")</f>
        <v>0</v>
      </c>
      <c r="E52" s="13" t="n">
        <f aca="false">COUNTIFS(Runs!$B:$B,$A52,Runs!$H:$H,$B52,Runs!$C:$C,"Gemini",Runs!$D:$D,"v2")</f>
        <v>0</v>
      </c>
      <c r="F52" s="13" t="n">
        <f aca="false">D52+E52</f>
        <v>0</v>
      </c>
      <c r="G52" s="13" t="str">
        <f aca="false">IF(AND(D52&gt;0,E52&gt;0),"yes","no")</f>
        <v>no</v>
      </c>
      <c r="H52" s="13" t="str">
        <f aca="false">IF($B52="","",IF(AND(D52&gt;=4,E52&gt;=4),"LOCKED",IF(AND(D52&gt;=2,E52&gt;=2),"CANDIDATE",IF(F52&lt;=2,"DISCARD","WEAK"))))</f>
        <v/>
      </c>
      <c r="I52" s="14" t="str">
        <f aca="false">IFERROR(ROUND(AVERAGEIFS(Runs!$K:$K,Runs!$B:$B,$A52,Runs!$H:$H,$B52,Runs!$D:$D,"v2"),0),"")</f>
        <v/>
      </c>
      <c r="J52" s="8"/>
      <c r="K52" s="15"/>
    </row>
    <row r="53" customFormat="false" ht="15" hidden="false" customHeight="true" outlineLevel="0" collapsed="false">
      <c r="A53" s="12"/>
      <c r="B53" s="12"/>
      <c r="C53" s="12"/>
      <c r="D53" s="13" t="n">
        <f aca="false">COUNTIFS(Runs!$B:$B,$A53,Runs!$H:$H,$B53,Runs!$C:$C,"ChatGPT",Runs!$D:$D,"v2")</f>
        <v>0</v>
      </c>
      <c r="E53" s="13" t="n">
        <f aca="false">COUNTIFS(Runs!$B:$B,$A53,Runs!$H:$H,$B53,Runs!$C:$C,"Gemini",Runs!$D:$D,"v2")</f>
        <v>0</v>
      </c>
      <c r="F53" s="13" t="n">
        <f aca="false">D53+E53</f>
        <v>0</v>
      </c>
      <c r="G53" s="13" t="str">
        <f aca="false">IF(AND(D53&gt;0,E53&gt;0),"yes","no")</f>
        <v>no</v>
      </c>
      <c r="H53" s="13" t="str">
        <f aca="false">IF($B53="","",IF(AND(D53&gt;=4,E53&gt;=4),"LOCKED",IF(AND(D53&gt;=2,E53&gt;=2),"CANDIDATE",IF(F53&lt;=2,"DISCARD","WEAK"))))</f>
        <v/>
      </c>
      <c r="I53" s="14" t="str">
        <f aca="false">IFERROR(ROUND(AVERAGEIFS(Runs!$K:$K,Runs!$B:$B,$A53,Runs!$H:$H,$B53,Runs!$D:$D,"v2"),0),"")</f>
        <v/>
      </c>
      <c r="J53" s="8"/>
      <c r="K53" s="15"/>
    </row>
    <row r="54" customFormat="false" ht="15" hidden="false" customHeight="true" outlineLevel="0" collapsed="false">
      <c r="A54" s="12"/>
      <c r="B54" s="12"/>
      <c r="C54" s="12"/>
      <c r="D54" s="13" t="n">
        <f aca="false">COUNTIFS(Runs!$B:$B,$A54,Runs!$H:$H,$B54,Runs!$C:$C,"ChatGPT",Runs!$D:$D,"v2")</f>
        <v>0</v>
      </c>
      <c r="E54" s="13" t="n">
        <f aca="false">COUNTIFS(Runs!$B:$B,$A54,Runs!$H:$H,$B54,Runs!$C:$C,"Gemini",Runs!$D:$D,"v2")</f>
        <v>0</v>
      </c>
      <c r="F54" s="13" t="n">
        <f aca="false">D54+E54</f>
        <v>0</v>
      </c>
      <c r="G54" s="13" t="str">
        <f aca="false">IF(AND(D54&gt;0,E54&gt;0),"yes","no")</f>
        <v>no</v>
      </c>
      <c r="H54" s="13" t="str">
        <f aca="false">IF($B54="","",IF(AND(D54&gt;=4,E54&gt;=4),"LOCKED",IF(AND(D54&gt;=2,E54&gt;=2),"CANDIDATE",IF(F54&lt;=2,"DISCARD","WEAK"))))</f>
        <v/>
      </c>
      <c r="I54" s="14" t="str">
        <f aca="false">IFERROR(ROUND(AVERAGEIFS(Runs!$K:$K,Runs!$B:$B,$A54,Runs!$H:$H,$B54,Runs!$D:$D,"v2"),0),"")</f>
        <v/>
      </c>
      <c r="J54" s="8"/>
      <c r="K54" s="15"/>
    </row>
    <row r="55" customFormat="false" ht="15" hidden="false" customHeight="true" outlineLevel="0" collapsed="false">
      <c r="A55" s="12"/>
      <c r="B55" s="12"/>
      <c r="C55" s="12"/>
      <c r="D55" s="13" t="n">
        <f aca="false">COUNTIFS(Runs!$B:$B,$A55,Runs!$H:$H,$B55,Runs!$C:$C,"ChatGPT",Runs!$D:$D,"v2")</f>
        <v>0</v>
      </c>
      <c r="E55" s="13" t="n">
        <f aca="false">COUNTIFS(Runs!$B:$B,$A55,Runs!$H:$H,$B55,Runs!$C:$C,"Gemini",Runs!$D:$D,"v2")</f>
        <v>0</v>
      </c>
      <c r="F55" s="13" t="n">
        <f aca="false">D55+E55</f>
        <v>0</v>
      </c>
      <c r="G55" s="13" t="str">
        <f aca="false">IF(AND(D55&gt;0,E55&gt;0),"yes","no")</f>
        <v>no</v>
      </c>
      <c r="H55" s="13" t="str">
        <f aca="false">IF($B55="","",IF(AND(D55&gt;=4,E55&gt;=4),"LOCKED",IF(AND(D55&gt;=2,E55&gt;=2),"CANDIDATE",IF(F55&lt;=2,"DISCARD","WEAK"))))</f>
        <v/>
      </c>
      <c r="I55" s="14" t="str">
        <f aca="false">IFERROR(ROUND(AVERAGEIFS(Runs!$K:$K,Runs!$B:$B,$A55,Runs!$H:$H,$B55,Runs!$D:$D,"v2"),0),"")</f>
        <v/>
      </c>
      <c r="J55" s="8"/>
      <c r="K55" s="15"/>
    </row>
    <row r="56" customFormat="false" ht="15" hidden="false" customHeight="true" outlineLevel="0" collapsed="false">
      <c r="A56" s="12"/>
      <c r="B56" s="12"/>
      <c r="C56" s="12"/>
      <c r="D56" s="13" t="n">
        <f aca="false">COUNTIFS(Runs!$B:$B,$A56,Runs!$H:$H,$B56,Runs!$C:$C,"ChatGPT",Runs!$D:$D,"v2")</f>
        <v>0</v>
      </c>
      <c r="E56" s="13" t="n">
        <f aca="false">COUNTIFS(Runs!$B:$B,$A56,Runs!$H:$H,$B56,Runs!$C:$C,"Gemini",Runs!$D:$D,"v2")</f>
        <v>0</v>
      </c>
      <c r="F56" s="13" t="n">
        <f aca="false">D56+E56</f>
        <v>0</v>
      </c>
      <c r="G56" s="13" t="str">
        <f aca="false">IF(AND(D56&gt;0,E56&gt;0),"yes","no")</f>
        <v>no</v>
      </c>
      <c r="H56" s="13" t="str">
        <f aca="false">IF($B56="","",IF(AND(D56&gt;=4,E56&gt;=4),"LOCKED",IF(AND(D56&gt;=2,E56&gt;=2),"CANDIDATE",IF(F56&lt;=2,"DISCARD","WEAK"))))</f>
        <v/>
      </c>
      <c r="I56" s="14" t="str">
        <f aca="false">IFERROR(ROUND(AVERAGEIFS(Runs!$K:$K,Runs!$B:$B,$A56,Runs!$H:$H,$B56,Runs!$D:$D,"v2"),0),"")</f>
        <v/>
      </c>
      <c r="J56" s="8"/>
      <c r="K56" s="15"/>
    </row>
    <row r="57" customFormat="false" ht="15" hidden="false" customHeight="true" outlineLevel="0" collapsed="false">
      <c r="A57" s="12"/>
      <c r="B57" s="12"/>
      <c r="C57" s="12"/>
      <c r="D57" s="13" t="n">
        <f aca="false">COUNTIFS(Runs!$B:$B,$A57,Runs!$H:$H,$B57,Runs!$C:$C,"ChatGPT",Runs!$D:$D,"v2")</f>
        <v>0</v>
      </c>
      <c r="E57" s="13" t="n">
        <f aca="false">COUNTIFS(Runs!$B:$B,$A57,Runs!$H:$H,$B57,Runs!$C:$C,"Gemini",Runs!$D:$D,"v2")</f>
        <v>0</v>
      </c>
      <c r="F57" s="13" t="n">
        <f aca="false">D57+E57</f>
        <v>0</v>
      </c>
      <c r="G57" s="13" t="str">
        <f aca="false">IF(AND(D57&gt;0,E57&gt;0),"yes","no")</f>
        <v>no</v>
      </c>
      <c r="H57" s="13" t="str">
        <f aca="false">IF($B57="","",IF(AND(D57&gt;=4,E57&gt;=4),"LOCKED",IF(AND(D57&gt;=2,E57&gt;=2),"CANDIDATE",IF(F57&lt;=2,"DISCARD","WEAK"))))</f>
        <v/>
      </c>
      <c r="I57" s="14" t="str">
        <f aca="false">IFERROR(ROUND(AVERAGEIFS(Runs!$K:$K,Runs!$B:$B,$A57,Runs!$H:$H,$B57,Runs!$D:$D,"v2"),0),"")</f>
        <v/>
      </c>
      <c r="J57" s="8"/>
      <c r="K57" s="15"/>
    </row>
    <row r="58" customFormat="false" ht="15" hidden="false" customHeight="true" outlineLevel="0" collapsed="false">
      <c r="A58" s="12"/>
      <c r="B58" s="12"/>
      <c r="C58" s="12"/>
      <c r="D58" s="13" t="n">
        <f aca="false">COUNTIFS(Runs!$B:$B,$A58,Runs!$H:$H,$B58,Runs!$C:$C,"ChatGPT",Runs!$D:$D,"v2")</f>
        <v>0</v>
      </c>
      <c r="E58" s="13" t="n">
        <f aca="false">COUNTIFS(Runs!$B:$B,$A58,Runs!$H:$H,$B58,Runs!$C:$C,"Gemini",Runs!$D:$D,"v2")</f>
        <v>0</v>
      </c>
      <c r="F58" s="13" t="n">
        <f aca="false">D58+E58</f>
        <v>0</v>
      </c>
      <c r="G58" s="13" t="str">
        <f aca="false">IF(AND(D58&gt;0,E58&gt;0),"yes","no")</f>
        <v>no</v>
      </c>
      <c r="H58" s="13" t="str">
        <f aca="false">IF($B58="","",IF(AND(D58&gt;=4,E58&gt;=4),"LOCKED",IF(AND(D58&gt;=2,E58&gt;=2),"CANDIDATE",IF(F58&lt;=2,"DISCARD","WEAK"))))</f>
        <v/>
      </c>
      <c r="I58" s="14" t="str">
        <f aca="false">IFERROR(ROUND(AVERAGEIFS(Runs!$K:$K,Runs!$B:$B,$A58,Runs!$H:$H,$B58,Runs!$D:$D,"v2"),0),"")</f>
        <v/>
      </c>
      <c r="J58" s="8"/>
      <c r="K58" s="15"/>
    </row>
    <row r="59" customFormat="false" ht="15" hidden="false" customHeight="true" outlineLevel="0" collapsed="false">
      <c r="A59" s="12"/>
      <c r="B59" s="12"/>
      <c r="C59" s="12"/>
      <c r="D59" s="13" t="n">
        <f aca="false">COUNTIFS(Runs!$B:$B,$A59,Runs!$H:$H,$B59,Runs!$C:$C,"ChatGPT",Runs!$D:$D,"v2")</f>
        <v>0</v>
      </c>
      <c r="E59" s="13" t="n">
        <f aca="false">COUNTIFS(Runs!$B:$B,$A59,Runs!$H:$H,$B59,Runs!$C:$C,"Gemini",Runs!$D:$D,"v2")</f>
        <v>0</v>
      </c>
      <c r="F59" s="13" t="n">
        <f aca="false">D59+E59</f>
        <v>0</v>
      </c>
      <c r="G59" s="13" t="str">
        <f aca="false">IF(AND(D59&gt;0,E59&gt;0),"yes","no")</f>
        <v>no</v>
      </c>
      <c r="H59" s="13" t="str">
        <f aca="false">IF($B59="","",IF(AND(D59&gt;=4,E59&gt;=4),"LOCKED",IF(AND(D59&gt;=2,E59&gt;=2),"CANDIDATE",IF(F59&lt;=2,"DISCARD","WEAK"))))</f>
        <v/>
      </c>
      <c r="I59" s="14" t="str">
        <f aca="false">IFERROR(ROUND(AVERAGEIFS(Runs!$K:$K,Runs!$B:$B,$A59,Runs!$H:$H,$B59,Runs!$D:$D,"v2"),0),"")</f>
        <v/>
      </c>
      <c r="J59" s="8"/>
      <c r="K59" s="15"/>
    </row>
    <row r="60" customFormat="false" ht="15" hidden="false" customHeight="true" outlineLevel="0" collapsed="false">
      <c r="A60" s="12"/>
      <c r="B60" s="12"/>
      <c r="C60" s="12"/>
      <c r="D60" s="13" t="n">
        <f aca="false">COUNTIFS(Runs!$B:$B,$A60,Runs!$H:$H,$B60,Runs!$C:$C,"ChatGPT",Runs!$D:$D,"v2")</f>
        <v>0</v>
      </c>
      <c r="E60" s="13" t="n">
        <f aca="false">COUNTIFS(Runs!$B:$B,$A60,Runs!$H:$H,$B60,Runs!$C:$C,"Gemini",Runs!$D:$D,"v2")</f>
        <v>0</v>
      </c>
      <c r="F60" s="13" t="n">
        <f aca="false">D60+E60</f>
        <v>0</v>
      </c>
      <c r="G60" s="13" t="str">
        <f aca="false">IF(AND(D60&gt;0,E60&gt;0),"yes","no")</f>
        <v>no</v>
      </c>
      <c r="H60" s="13" t="str">
        <f aca="false">IF($B60="","",IF(AND(D60&gt;=4,E60&gt;=4),"LOCKED",IF(AND(D60&gt;=2,E60&gt;=2),"CANDIDATE",IF(F60&lt;=2,"DISCARD","WEAK"))))</f>
        <v/>
      </c>
      <c r="I60" s="14" t="str">
        <f aca="false">IFERROR(ROUND(AVERAGEIFS(Runs!$K:$K,Runs!$B:$B,$A60,Runs!$H:$H,$B60,Runs!$D:$D,"v2"),0),"")</f>
        <v/>
      </c>
      <c r="J60" s="8"/>
      <c r="K60" s="15"/>
    </row>
    <row r="61" customFormat="false" ht="15" hidden="false" customHeight="true" outlineLevel="0" collapsed="false">
      <c r="A61" s="12"/>
      <c r="B61" s="12"/>
      <c r="C61" s="12"/>
      <c r="D61" s="13" t="n">
        <f aca="false">COUNTIFS(Runs!$B:$B,$A61,Runs!$H:$H,$B61,Runs!$C:$C,"ChatGPT",Runs!$D:$D,"v2")</f>
        <v>0</v>
      </c>
      <c r="E61" s="13" t="n">
        <f aca="false">COUNTIFS(Runs!$B:$B,$A61,Runs!$H:$H,$B61,Runs!$C:$C,"Gemini",Runs!$D:$D,"v2")</f>
        <v>0</v>
      </c>
      <c r="F61" s="13" t="n">
        <f aca="false">D61+E61</f>
        <v>0</v>
      </c>
      <c r="G61" s="13" t="str">
        <f aca="false">IF(AND(D61&gt;0,E61&gt;0),"yes","no")</f>
        <v>no</v>
      </c>
      <c r="H61" s="13" t="str">
        <f aca="false">IF($B61="","",IF(AND(D61&gt;=4,E61&gt;=4),"LOCKED",IF(AND(D61&gt;=2,E61&gt;=2),"CANDIDATE",IF(F61&lt;=2,"DISCARD","WEAK"))))</f>
        <v/>
      </c>
      <c r="I61" s="14" t="str">
        <f aca="false">IFERROR(ROUND(AVERAGEIFS(Runs!$K:$K,Runs!$B:$B,$A61,Runs!$H:$H,$B61,Runs!$D:$D,"v2"),0),"")</f>
        <v/>
      </c>
      <c r="J61" s="8"/>
      <c r="K61" s="15"/>
    </row>
    <row r="62" customFormat="false" ht="15" hidden="false" customHeight="true" outlineLevel="0" collapsed="false">
      <c r="A62" s="12"/>
      <c r="B62" s="12"/>
      <c r="C62" s="12"/>
      <c r="D62" s="13" t="n">
        <f aca="false">COUNTIFS(Runs!$B:$B,$A62,Runs!$H:$H,$B62,Runs!$C:$C,"ChatGPT",Runs!$D:$D,"v2")</f>
        <v>0</v>
      </c>
      <c r="E62" s="13" t="n">
        <f aca="false">COUNTIFS(Runs!$B:$B,$A62,Runs!$H:$H,$B62,Runs!$C:$C,"Gemini",Runs!$D:$D,"v2")</f>
        <v>0</v>
      </c>
      <c r="F62" s="13" t="n">
        <f aca="false">D62+E62</f>
        <v>0</v>
      </c>
      <c r="G62" s="13" t="str">
        <f aca="false">IF(AND(D62&gt;0,E62&gt;0),"yes","no")</f>
        <v>no</v>
      </c>
      <c r="H62" s="13" t="str">
        <f aca="false">IF($B62="","",IF(AND(D62&gt;=4,E62&gt;=4),"LOCKED",IF(AND(D62&gt;=2,E62&gt;=2),"CANDIDATE",IF(F62&lt;=2,"DISCARD","WEAK"))))</f>
        <v/>
      </c>
      <c r="I62" s="14" t="str">
        <f aca="false">IFERROR(ROUND(AVERAGEIFS(Runs!$K:$K,Runs!$B:$B,$A62,Runs!$H:$H,$B62,Runs!$D:$D,"v2"),0),"")</f>
        <v/>
      </c>
      <c r="J62" s="8"/>
      <c r="K62" s="15"/>
    </row>
    <row r="63" customFormat="false" ht="15" hidden="false" customHeight="true" outlineLevel="0" collapsed="false">
      <c r="A63" s="12"/>
      <c r="B63" s="12"/>
      <c r="C63" s="12"/>
      <c r="D63" s="13" t="n">
        <f aca="false">COUNTIFS(Runs!$B:$B,$A63,Runs!$H:$H,$B63,Runs!$C:$C,"ChatGPT",Runs!$D:$D,"v2")</f>
        <v>0</v>
      </c>
      <c r="E63" s="13" t="n">
        <f aca="false">COUNTIFS(Runs!$B:$B,$A63,Runs!$H:$H,$B63,Runs!$C:$C,"Gemini",Runs!$D:$D,"v2")</f>
        <v>0</v>
      </c>
      <c r="F63" s="13" t="n">
        <f aca="false">D63+E63</f>
        <v>0</v>
      </c>
      <c r="G63" s="13" t="str">
        <f aca="false">IF(AND(D63&gt;0,E63&gt;0),"yes","no")</f>
        <v>no</v>
      </c>
      <c r="H63" s="13" t="str">
        <f aca="false">IF($B63="","",IF(AND(D63&gt;=4,E63&gt;=4),"LOCKED",IF(AND(D63&gt;=2,E63&gt;=2),"CANDIDATE",IF(F63&lt;=2,"DISCARD","WEAK"))))</f>
        <v/>
      </c>
      <c r="I63" s="14" t="str">
        <f aca="false">IFERROR(ROUND(AVERAGEIFS(Runs!$K:$K,Runs!$B:$B,$A63,Runs!$H:$H,$B63,Runs!$D:$D,"v2"),0),"")</f>
        <v/>
      </c>
      <c r="J63" s="8"/>
      <c r="K63" s="15"/>
    </row>
    <row r="64" customFormat="false" ht="15" hidden="false" customHeight="true" outlineLevel="0" collapsed="false">
      <c r="A64" s="12"/>
      <c r="B64" s="12"/>
      <c r="C64" s="12"/>
      <c r="D64" s="13" t="n">
        <f aca="false">COUNTIFS(Runs!$B:$B,$A64,Runs!$H:$H,$B64,Runs!$C:$C,"ChatGPT",Runs!$D:$D,"v2")</f>
        <v>0</v>
      </c>
      <c r="E64" s="13" t="n">
        <f aca="false">COUNTIFS(Runs!$B:$B,$A64,Runs!$H:$H,$B64,Runs!$C:$C,"Gemini",Runs!$D:$D,"v2")</f>
        <v>0</v>
      </c>
      <c r="F64" s="13" t="n">
        <f aca="false">D64+E64</f>
        <v>0</v>
      </c>
      <c r="G64" s="13" t="str">
        <f aca="false">IF(AND(D64&gt;0,E64&gt;0),"yes","no")</f>
        <v>no</v>
      </c>
      <c r="H64" s="13" t="str">
        <f aca="false">IF($B64="","",IF(AND(D64&gt;=4,E64&gt;=4),"LOCKED",IF(AND(D64&gt;=2,E64&gt;=2),"CANDIDATE",IF(F64&lt;=2,"DISCARD","WEAK"))))</f>
        <v/>
      </c>
      <c r="I64" s="14" t="str">
        <f aca="false">IFERROR(ROUND(AVERAGEIFS(Runs!$K:$K,Runs!$B:$B,$A64,Runs!$H:$H,$B64,Runs!$D:$D,"v2"),0),"")</f>
        <v/>
      </c>
      <c r="J64" s="8"/>
      <c r="K64" s="15"/>
    </row>
    <row r="65" customFormat="false" ht="15" hidden="false" customHeight="true" outlineLevel="0" collapsed="false">
      <c r="A65" s="12"/>
      <c r="B65" s="12"/>
      <c r="C65" s="12"/>
      <c r="D65" s="13" t="n">
        <f aca="false">COUNTIFS(Runs!$B:$B,$A65,Runs!$H:$H,$B65,Runs!$C:$C,"ChatGPT",Runs!$D:$D,"v2")</f>
        <v>0</v>
      </c>
      <c r="E65" s="13" t="n">
        <f aca="false">COUNTIFS(Runs!$B:$B,$A65,Runs!$H:$H,$B65,Runs!$C:$C,"Gemini",Runs!$D:$D,"v2")</f>
        <v>0</v>
      </c>
      <c r="F65" s="13" t="n">
        <f aca="false">D65+E65</f>
        <v>0</v>
      </c>
      <c r="G65" s="13" t="str">
        <f aca="false">IF(AND(D65&gt;0,E65&gt;0),"yes","no")</f>
        <v>no</v>
      </c>
      <c r="H65" s="13" t="str">
        <f aca="false">IF($B65="","",IF(AND(D65&gt;=4,E65&gt;=4),"LOCKED",IF(AND(D65&gt;=2,E65&gt;=2),"CANDIDATE",IF(F65&lt;=2,"DISCARD","WEAK"))))</f>
        <v/>
      </c>
      <c r="I65" s="14" t="str">
        <f aca="false">IFERROR(ROUND(AVERAGEIFS(Runs!$K:$K,Runs!$B:$B,$A65,Runs!$H:$H,$B65,Runs!$D:$D,"v2"),0),"")</f>
        <v/>
      </c>
      <c r="J65" s="8"/>
      <c r="K65" s="15"/>
    </row>
    <row r="66" customFormat="false" ht="15" hidden="false" customHeight="true" outlineLevel="0" collapsed="false">
      <c r="A66" s="12"/>
      <c r="B66" s="12"/>
      <c r="C66" s="12"/>
      <c r="D66" s="13" t="n">
        <f aca="false">COUNTIFS(Runs!$B:$B,$A66,Runs!$H:$H,$B66,Runs!$C:$C,"ChatGPT",Runs!$D:$D,"v2")</f>
        <v>0</v>
      </c>
      <c r="E66" s="13" t="n">
        <f aca="false">COUNTIFS(Runs!$B:$B,$A66,Runs!$H:$H,$B66,Runs!$C:$C,"Gemini",Runs!$D:$D,"v2")</f>
        <v>0</v>
      </c>
      <c r="F66" s="13" t="n">
        <f aca="false">D66+E66</f>
        <v>0</v>
      </c>
      <c r="G66" s="13" t="str">
        <f aca="false">IF(AND(D66&gt;0,E66&gt;0),"yes","no")</f>
        <v>no</v>
      </c>
      <c r="H66" s="13" t="str">
        <f aca="false">IF($B66="","",IF(AND(D66&gt;=4,E66&gt;=4),"LOCKED",IF(AND(D66&gt;=2,E66&gt;=2),"CANDIDATE",IF(F66&lt;=2,"DISCARD","WEAK"))))</f>
        <v/>
      </c>
      <c r="I66" s="14" t="str">
        <f aca="false">IFERROR(ROUND(AVERAGEIFS(Runs!$K:$K,Runs!$B:$B,$A66,Runs!$H:$H,$B66,Runs!$D:$D,"v2"),0),"")</f>
        <v/>
      </c>
      <c r="J66" s="8"/>
      <c r="K66" s="15"/>
    </row>
    <row r="67" customFormat="false" ht="15" hidden="false" customHeight="true" outlineLevel="0" collapsed="false">
      <c r="A67" s="12"/>
      <c r="B67" s="12"/>
      <c r="C67" s="12"/>
      <c r="D67" s="13" t="n">
        <f aca="false">COUNTIFS(Runs!$B:$B,$A67,Runs!$H:$H,$B67,Runs!$C:$C,"ChatGPT",Runs!$D:$D,"v2")</f>
        <v>0</v>
      </c>
      <c r="E67" s="13" t="n">
        <f aca="false">COUNTIFS(Runs!$B:$B,$A67,Runs!$H:$H,$B67,Runs!$C:$C,"Gemini",Runs!$D:$D,"v2")</f>
        <v>0</v>
      </c>
      <c r="F67" s="13" t="n">
        <f aca="false">D67+E67</f>
        <v>0</v>
      </c>
      <c r="G67" s="13" t="str">
        <f aca="false">IF(AND(D67&gt;0,E67&gt;0),"yes","no")</f>
        <v>no</v>
      </c>
      <c r="H67" s="13" t="str">
        <f aca="false">IF($B67="","",IF(AND(D67&gt;=4,E67&gt;=4),"LOCKED",IF(AND(D67&gt;=2,E67&gt;=2),"CANDIDATE",IF(F67&lt;=2,"DISCARD","WEAK"))))</f>
        <v/>
      </c>
      <c r="I67" s="14" t="str">
        <f aca="false">IFERROR(ROUND(AVERAGEIFS(Runs!$K:$K,Runs!$B:$B,$A67,Runs!$H:$H,$B67,Runs!$D:$D,"v2"),0),"")</f>
        <v/>
      </c>
      <c r="J67" s="8"/>
      <c r="K67" s="15"/>
    </row>
    <row r="68" customFormat="false" ht="15" hidden="false" customHeight="true" outlineLevel="0" collapsed="false">
      <c r="A68" s="12"/>
      <c r="B68" s="12"/>
      <c r="C68" s="12"/>
      <c r="D68" s="13" t="n">
        <f aca="false">COUNTIFS(Runs!$B:$B,$A68,Runs!$H:$H,$B68,Runs!$C:$C,"ChatGPT",Runs!$D:$D,"v2")</f>
        <v>0</v>
      </c>
      <c r="E68" s="13" t="n">
        <f aca="false">COUNTIFS(Runs!$B:$B,$A68,Runs!$H:$H,$B68,Runs!$C:$C,"Gemini",Runs!$D:$D,"v2")</f>
        <v>0</v>
      </c>
      <c r="F68" s="13" t="n">
        <f aca="false">D68+E68</f>
        <v>0</v>
      </c>
      <c r="G68" s="13" t="str">
        <f aca="false">IF(AND(D68&gt;0,E68&gt;0),"yes","no")</f>
        <v>no</v>
      </c>
      <c r="H68" s="13" t="str">
        <f aca="false">IF($B68="","",IF(AND(D68&gt;=4,E68&gt;=4),"LOCKED",IF(AND(D68&gt;=2,E68&gt;=2),"CANDIDATE",IF(F68&lt;=2,"DISCARD","WEAK"))))</f>
        <v/>
      </c>
      <c r="I68" s="14" t="str">
        <f aca="false">IFERROR(ROUND(AVERAGEIFS(Runs!$K:$K,Runs!$B:$B,$A68,Runs!$H:$H,$B68,Runs!$D:$D,"v2"),0),"")</f>
        <v/>
      </c>
      <c r="J68" s="8"/>
      <c r="K68" s="15"/>
    </row>
    <row r="69" customFormat="false" ht="15" hidden="false" customHeight="true" outlineLevel="0" collapsed="false">
      <c r="A69" s="12"/>
      <c r="B69" s="12"/>
      <c r="C69" s="12"/>
      <c r="D69" s="13" t="n">
        <f aca="false">COUNTIFS(Runs!$B:$B,$A69,Runs!$H:$H,$B69,Runs!$C:$C,"ChatGPT",Runs!$D:$D,"v2")</f>
        <v>0</v>
      </c>
      <c r="E69" s="13" t="n">
        <f aca="false">COUNTIFS(Runs!$B:$B,$A69,Runs!$H:$H,$B69,Runs!$C:$C,"Gemini",Runs!$D:$D,"v2")</f>
        <v>0</v>
      </c>
      <c r="F69" s="13" t="n">
        <f aca="false">D69+E69</f>
        <v>0</v>
      </c>
      <c r="G69" s="13" t="str">
        <f aca="false">IF(AND(D69&gt;0,E69&gt;0),"yes","no")</f>
        <v>no</v>
      </c>
      <c r="H69" s="13" t="str">
        <f aca="false">IF($B69="","",IF(AND(D69&gt;=4,E69&gt;=4),"LOCKED",IF(AND(D69&gt;=2,E69&gt;=2),"CANDIDATE",IF(F69&lt;=2,"DISCARD","WEAK"))))</f>
        <v/>
      </c>
      <c r="I69" s="14" t="str">
        <f aca="false">IFERROR(ROUND(AVERAGEIFS(Runs!$K:$K,Runs!$B:$B,$A69,Runs!$H:$H,$B69,Runs!$D:$D,"v2"),0),"")</f>
        <v/>
      </c>
      <c r="J69" s="8"/>
      <c r="K69" s="15"/>
    </row>
    <row r="70" customFormat="false" ht="15" hidden="false" customHeight="true" outlineLevel="0" collapsed="false">
      <c r="A70" s="12"/>
      <c r="B70" s="12"/>
      <c r="C70" s="12"/>
      <c r="D70" s="13" t="n">
        <f aca="false">COUNTIFS(Runs!$B:$B,$A70,Runs!$H:$H,$B70,Runs!$C:$C,"ChatGPT",Runs!$D:$D,"v2")</f>
        <v>0</v>
      </c>
      <c r="E70" s="13" t="n">
        <f aca="false">COUNTIFS(Runs!$B:$B,$A70,Runs!$H:$H,$B70,Runs!$C:$C,"Gemini",Runs!$D:$D,"v2")</f>
        <v>0</v>
      </c>
      <c r="F70" s="13" t="n">
        <f aca="false">D70+E70</f>
        <v>0</v>
      </c>
      <c r="G70" s="13" t="str">
        <f aca="false">IF(AND(D70&gt;0,E70&gt;0),"yes","no")</f>
        <v>no</v>
      </c>
      <c r="H70" s="13" t="str">
        <f aca="false">IF($B70="","",IF(AND(D70&gt;=4,E70&gt;=4),"LOCKED",IF(AND(D70&gt;=2,E70&gt;=2),"CANDIDATE",IF(F70&lt;=2,"DISCARD","WEAK"))))</f>
        <v/>
      </c>
      <c r="I70" s="14" t="str">
        <f aca="false">IFERROR(ROUND(AVERAGEIFS(Runs!$K:$K,Runs!$B:$B,$A70,Runs!$H:$H,$B70,Runs!$D:$D,"v2"),0),"")</f>
        <v/>
      </c>
      <c r="J70" s="8"/>
      <c r="K70" s="15"/>
    </row>
    <row r="71" customFormat="false" ht="15" hidden="false" customHeight="true" outlineLevel="0" collapsed="false">
      <c r="A71" s="12"/>
      <c r="B71" s="12"/>
      <c r="C71" s="12"/>
      <c r="D71" s="13" t="n">
        <f aca="false">COUNTIFS(Runs!$B:$B,$A71,Runs!$H:$H,$B71,Runs!$C:$C,"ChatGPT",Runs!$D:$D,"v2")</f>
        <v>0</v>
      </c>
      <c r="E71" s="13" t="n">
        <f aca="false">COUNTIFS(Runs!$B:$B,$A71,Runs!$H:$H,$B71,Runs!$C:$C,"Gemini",Runs!$D:$D,"v2")</f>
        <v>0</v>
      </c>
      <c r="F71" s="13" t="n">
        <f aca="false">D71+E71</f>
        <v>0</v>
      </c>
      <c r="G71" s="13" t="str">
        <f aca="false">IF(AND(D71&gt;0,E71&gt;0),"yes","no")</f>
        <v>no</v>
      </c>
      <c r="H71" s="13" t="str">
        <f aca="false">IF($B71="","",IF(AND(D71&gt;=4,E71&gt;=4),"LOCKED",IF(AND(D71&gt;=2,E71&gt;=2),"CANDIDATE",IF(F71&lt;=2,"DISCARD","WEAK"))))</f>
        <v/>
      </c>
      <c r="I71" s="14" t="str">
        <f aca="false">IFERROR(ROUND(AVERAGEIFS(Runs!$K:$K,Runs!$B:$B,$A71,Runs!$H:$H,$B71,Runs!$D:$D,"v2"),0),"")</f>
        <v/>
      </c>
      <c r="J71" s="8"/>
      <c r="K71" s="15"/>
    </row>
    <row r="72" customFormat="false" ht="15" hidden="false" customHeight="true" outlineLevel="0" collapsed="false">
      <c r="A72" s="12"/>
      <c r="B72" s="12"/>
      <c r="C72" s="12"/>
      <c r="D72" s="13" t="n">
        <f aca="false">COUNTIFS(Runs!$B:$B,$A72,Runs!$H:$H,$B72,Runs!$C:$C,"ChatGPT",Runs!$D:$D,"v2")</f>
        <v>0</v>
      </c>
      <c r="E72" s="13" t="n">
        <f aca="false">COUNTIFS(Runs!$B:$B,$A72,Runs!$H:$H,$B72,Runs!$C:$C,"Gemini",Runs!$D:$D,"v2")</f>
        <v>0</v>
      </c>
      <c r="F72" s="13" t="n">
        <f aca="false">D72+E72</f>
        <v>0</v>
      </c>
      <c r="G72" s="13" t="str">
        <f aca="false">IF(AND(D72&gt;0,E72&gt;0),"yes","no")</f>
        <v>no</v>
      </c>
      <c r="H72" s="13" t="str">
        <f aca="false">IF($B72="","",IF(AND(D72&gt;=4,E72&gt;=4),"LOCKED",IF(AND(D72&gt;=2,E72&gt;=2),"CANDIDATE",IF(F72&lt;=2,"DISCARD","WEAK"))))</f>
        <v/>
      </c>
      <c r="I72" s="14" t="str">
        <f aca="false">IFERROR(ROUND(AVERAGEIFS(Runs!$K:$K,Runs!$B:$B,$A72,Runs!$H:$H,$B72,Runs!$D:$D,"v2"),0),"")</f>
        <v/>
      </c>
      <c r="J72" s="8"/>
      <c r="K72" s="15"/>
    </row>
    <row r="73" customFormat="false" ht="15" hidden="false" customHeight="true" outlineLevel="0" collapsed="false">
      <c r="A73" s="12"/>
      <c r="B73" s="12"/>
      <c r="C73" s="12"/>
      <c r="D73" s="13" t="n">
        <f aca="false">COUNTIFS(Runs!$B:$B,$A73,Runs!$H:$H,$B73,Runs!$C:$C,"ChatGPT",Runs!$D:$D,"v2")</f>
        <v>0</v>
      </c>
      <c r="E73" s="13" t="n">
        <f aca="false">COUNTIFS(Runs!$B:$B,$A73,Runs!$H:$H,$B73,Runs!$C:$C,"Gemini",Runs!$D:$D,"v2")</f>
        <v>0</v>
      </c>
      <c r="F73" s="13" t="n">
        <f aca="false">D73+E73</f>
        <v>0</v>
      </c>
      <c r="G73" s="13" t="str">
        <f aca="false">IF(AND(D73&gt;0,E73&gt;0),"yes","no")</f>
        <v>no</v>
      </c>
      <c r="H73" s="13" t="str">
        <f aca="false">IF($B73="","",IF(AND(D73&gt;=4,E73&gt;=4),"LOCKED",IF(AND(D73&gt;=2,E73&gt;=2),"CANDIDATE",IF(F73&lt;=2,"DISCARD","WEAK"))))</f>
        <v/>
      </c>
      <c r="I73" s="14" t="str">
        <f aca="false">IFERROR(ROUND(AVERAGEIFS(Runs!$K:$K,Runs!$B:$B,$A73,Runs!$H:$H,$B73,Runs!$D:$D,"v2"),0),"")</f>
        <v/>
      </c>
      <c r="J73" s="8"/>
      <c r="K73" s="15"/>
    </row>
    <row r="74" customFormat="false" ht="15" hidden="false" customHeight="true" outlineLevel="0" collapsed="false">
      <c r="A74" s="12"/>
      <c r="B74" s="12"/>
      <c r="C74" s="12"/>
      <c r="D74" s="13" t="n">
        <f aca="false">COUNTIFS(Runs!$B:$B,$A74,Runs!$H:$H,$B74,Runs!$C:$C,"ChatGPT",Runs!$D:$D,"v2")</f>
        <v>0</v>
      </c>
      <c r="E74" s="13" t="n">
        <f aca="false">COUNTIFS(Runs!$B:$B,$A74,Runs!$H:$H,$B74,Runs!$C:$C,"Gemini",Runs!$D:$D,"v2")</f>
        <v>0</v>
      </c>
      <c r="F74" s="13" t="n">
        <f aca="false">D74+E74</f>
        <v>0</v>
      </c>
      <c r="G74" s="13" t="str">
        <f aca="false">IF(AND(D74&gt;0,E74&gt;0),"yes","no")</f>
        <v>no</v>
      </c>
      <c r="H74" s="13" t="str">
        <f aca="false">IF($B74="","",IF(AND(D74&gt;=4,E74&gt;=4),"LOCKED",IF(AND(D74&gt;=2,E74&gt;=2),"CANDIDATE",IF(F74&lt;=2,"DISCARD","WEAK"))))</f>
        <v/>
      </c>
      <c r="I74" s="14" t="str">
        <f aca="false">IFERROR(ROUND(AVERAGEIFS(Runs!$K:$K,Runs!$B:$B,$A74,Runs!$H:$H,$B74,Runs!$D:$D,"v2"),0),"")</f>
        <v/>
      </c>
      <c r="J74" s="8"/>
      <c r="K74" s="15"/>
    </row>
    <row r="75" customFormat="false" ht="15" hidden="false" customHeight="true" outlineLevel="0" collapsed="false">
      <c r="A75" s="12"/>
      <c r="B75" s="12"/>
      <c r="C75" s="12"/>
      <c r="D75" s="13" t="n">
        <f aca="false">COUNTIFS(Runs!$B:$B,$A75,Runs!$H:$H,$B75,Runs!$C:$C,"ChatGPT",Runs!$D:$D,"v2")</f>
        <v>0</v>
      </c>
      <c r="E75" s="13" t="n">
        <f aca="false">COUNTIFS(Runs!$B:$B,$A75,Runs!$H:$H,$B75,Runs!$C:$C,"Gemini",Runs!$D:$D,"v2")</f>
        <v>0</v>
      </c>
      <c r="F75" s="13" t="n">
        <f aca="false">D75+E75</f>
        <v>0</v>
      </c>
      <c r="G75" s="13" t="str">
        <f aca="false">IF(AND(D75&gt;0,E75&gt;0),"yes","no")</f>
        <v>no</v>
      </c>
      <c r="H75" s="13" t="str">
        <f aca="false">IF($B75="","",IF(AND(D75&gt;=4,E75&gt;=4),"LOCKED",IF(AND(D75&gt;=2,E75&gt;=2),"CANDIDATE",IF(F75&lt;=2,"DISCARD","WEAK"))))</f>
        <v/>
      </c>
      <c r="I75" s="14" t="str">
        <f aca="false">IFERROR(ROUND(AVERAGEIFS(Runs!$K:$K,Runs!$B:$B,$A75,Runs!$H:$H,$B75,Runs!$D:$D,"v2"),0),"")</f>
        <v/>
      </c>
      <c r="J75" s="8"/>
      <c r="K75" s="15"/>
    </row>
    <row r="76" customFormat="false" ht="15" hidden="false" customHeight="true" outlineLevel="0" collapsed="false">
      <c r="A76" s="12"/>
      <c r="B76" s="12"/>
      <c r="C76" s="12"/>
      <c r="D76" s="13" t="n">
        <f aca="false">COUNTIFS(Runs!$B:$B,$A76,Runs!$H:$H,$B76,Runs!$C:$C,"ChatGPT",Runs!$D:$D,"v2")</f>
        <v>0</v>
      </c>
      <c r="E76" s="13" t="n">
        <f aca="false">COUNTIFS(Runs!$B:$B,$A76,Runs!$H:$H,$B76,Runs!$C:$C,"Gemini",Runs!$D:$D,"v2")</f>
        <v>0</v>
      </c>
      <c r="F76" s="13" t="n">
        <f aca="false">D76+E76</f>
        <v>0</v>
      </c>
      <c r="G76" s="13" t="str">
        <f aca="false">IF(AND(D76&gt;0,E76&gt;0),"yes","no")</f>
        <v>no</v>
      </c>
      <c r="H76" s="13" t="str">
        <f aca="false">IF($B76="","",IF(AND(D76&gt;=4,E76&gt;=4),"LOCKED",IF(AND(D76&gt;=2,E76&gt;=2),"CANDIDATE",IF(F76&lt;=2,"DISCARD","WEAK"))))</f>
        <v/>
      </c>
      <c r="I76" s="14" t="str">
        <f aca="false">IFERROR(ROUND(AVERAGEIFS(Runs!$K:$K,Runs!$B:$B,$A76,Runs!$H:$H,$B76,Runs!$D:$D,"v2"),0),"")</f>
        <v/>
      </c>
      <c r="J76" s="8"/>
      <c r="K76" s="15"/>
    </row>
    <row r="77" customFormat="false" ht="15" hidden="false" customHeight="true" outlineLevel="0" collapsed="false">
      <c r="A77" s="12"/>
      <c r="B77" s="12"/>
      <c r="C77" s="12"/>
      <c r="D77" s="13" t="n">
        <f aca="false">COUNTIFS(Runs!$B:$B,$A77,Runs!$H:$H,$B77,Runs!$C:$C,"ChatGPT",Runs!$D:$D,"v2")</f>
        <v>0</v>
      </c>
      <c r="E77" s="13" t="n">
        <f aca="false">COUNTIFS(Runs!$B:$B,$A77,Runs!$H:$H,$B77,Runs!$C:$C,"Gemini",Runs!$D:$D,"v2")</f>
        <v>0</v>
      </c>
      <c r="F77" s="13" t="n">
        <f aca="false">D77+E77</f>
        <v>0</v>
      </c>
      <c r="G77" s="13" t="str">
        <f aca="false">IF(AND(D77&gt;0,E77&gt;0),"yes","no")</f>
        <v>no</v>
      </c>
      <c r="H77" s="13" t="str">
        <f aca="false">IF($B77="","",IF(AND(D77&gt;=4,E77&gt;=4),"LOCKED",IF(AND(D77&gt;=2,E77&gt;=2),"CANDIDATE",IF(F77&lt;=2,"DISCARD","WEAK"))))</f>
        <v/>
      </c>
      <c r="I77" s="14" t="str">
        <f aca="false">IFERROR(ROUND(AVERAGEIFS(Runs!$K:$K,Runs!$B:$B,$A77,Runs!$H:$H,$B77,Runs!$D:$D,"v2"),0),"")</f>
        <v/>
      </c>
      <c r="J77" s="8"/>
      <c r="K77" s="15"/>
    </row>
    <row r="78" customFormat="false" ht="15" hidden="false" customHeight="true" outlineLevel="0" collapsed="false">
      <c r="A78" s="12"/>
      <c r="B78" s="12"/>
      <c r="C78" s="12"/>
      <c r="D78" s="13" t="n">
        <f aca="false">COUNTIFS(Runs!$B:$B,$A78,Runs!$H:$H,$B78,Runs!$C:$C,"ChatGPT",Runs!$D:$D,"v2")</f>
        <v>0</v>
      </c>
      <c r="E78" s="13" t="n">
        <f aca="false">COUNTIFS(Runs!$B:$B,$A78,Runs!$H:$H,$B78,Runs!$C:$C,"Gemini",Runs!$D:$D,"v2")</f>
        <v>0</v>
      </c>
      <c r="F78" s="13" t="n">
        <f aca="false">D78+E78</f>
        <v>0</v>
      </c>
      <c r="G78" s="13" t="str">
        <f aca="false">IF(AND(D78&gt;0,E78&gt;0),"yes","no")</f>
        <v>no</v>
      </c>
      <c r="H78" s="13" t="str">
        <f aca="false">IF($B78="","",IF(AND(D78&gt;=4,E78&gt;=4),"LOCKED",IF(AND(D78&gt;=2,E78&gt;=2),"CANDIDATE",IF(F78&lt;=2,"DISCARD","WEAK"))))</f>
        <v/>
      </c>
      <c r="I78" s="14" t="str">
        <f aca="false">IFERROR(ROUND(AVERAGEIFS(Runs!$K:$K,Runs!$B:$B,$A78,Runs!$H:$H,$B78,Runs!$D:$D,"v2"),0),"")</f>
        <v/>
      </c>
      <c r="J78" s="8"/>
      <c r="K78" s="15"/>
    </row>
    <row r="79" customFormat="false" ht="15" hidden="false" customHeight="true" outlineLevel="0" collapsed="false">
      <c r="A79" s="12"/>
      <c r="B79" s="12"/>
      <c r="C79" s="12"/>
      <c r="D79" s="13" t="n">
        <f aca="false">COUNTIFS(Runs!$B:$B,$A79,Runs!$H:$H,$B79,Runs!$C:$C,"ChatGPT",Runs!$D:$D,"v2")</f>
        <v>0</v>
      </c>
      <c r="E79" s="13" t="n">
        <f aca="false">COUNTIFS(Runs!$B:$B,$A79,Runs!$H:$H,$B79,Runs!$C:$C,"Gemini",Runs!$D:$D,"v2")</f>
        <v>0</v>
      </c>
      <c r="F79" s="13" t="n">
        <f aca="false">D79+E79</f>
        <v>0</v>
      </c>
      <c r="G79" s="13" t="str">
        <f aca="false">IF(AND(D79&gt;0,E79&gt;0),"yes","no")</f>
        <v>no</v>
      </c>
      <c r="H79" s="13" t="str">
        <f aca="false">IF($B79="","",IF(AND(D79&gt;=4,E79&gt;=4),"LOCKED",IF(AND(D79&gt;=2,E79&gt;=2),"CANDIDATE",IF(F79&lt;=2,"DISCARD","WEAK"))))</f>
        <v/>
      </c>
      <c r="I79" s="14" t="str">
        <f aca="false">IFERROR(ROUND(AVERAGEIFS(Runs!$K:$K,Runs!$B:$B,$A79,Runs!$H:$H,$B79,Runs!$D:$D,"v2"),0),"")</f>
        <v/>
      </c>
      <c r="J79" s="8"/>
      <c r="K79" s="15"/>
    </row>
    <row r="80" customFormat="false" ht="15" hidden="false" customHeight="true" outlineLevel="0" collapsed="false">
      <c r="A80" s="12"/>
      <c r="B80" s="12"/>
      <c r="C80" s="12"/>
      <c r="D80" s="13" t="n">
        <f aca="false">COUNTIFS(Runs!$B:$B,$A80,Runs!$H:$H,$B80,Runs!$C:$C,"ChatGPT",Runs!$D:$D,"v2")</f>
        <v>0</v>
      </c>
      <c r="E80" s="13" t="n">
        <f aca="false">COUNTIFS(Runs!$B:$B,$A80,Runs!$H:$H,$B80,Runs!$C:$C,"Gemini",Runs!$D:$D,"v2")</f>
        <v>0</v>
      </c>
      <c r="F80" s="13" t="n">
        <f aca="false">D80+E80</f>
        <v>0</v>
      </c>
      <c r="G80" s="13" t="str">
        <f aca="false">IF(AND(D80&gt;0,E80&gt;0),"yes","no")</f>
        <v>no</v>
      </c>
      <c r="H80" s="13" t="str">
        <f aca="false">IF($B80="","",IF(AND(D80&gt;=4,E80&gt;=4),"LOCKED",IF(AND(D80&gt;=2,E80&gt;=2),"CANDIDATE",IF(F80&lt;=2,"DISCARD","WEAK"))))</f>
        <v/>
      </c>
      <c r="I80" s="14" t="str">
        <f aca="false">IFERROR(ROUND(AVERAGEIFS(Runs!$K:$K,Runs!$B:$B,$A80,Runs!$H:$H,$B80,Runs!$D:$D,"v2"),0),"")</f>
        <v/>
      </c>
      <c r="J80" s="8"/>
      <c r="K80" s="15"/>
    </row>
    <row r="81" customFormat="false" ht="15" hidden="false" customHeight="true" outlineLevel="0" collapsed="false">
      <c r="A81" s="12"/>
      <c r="B81" s="12"/>
      <c r="C81" s="12"/>
      <c r="D81" s="13" t="n">
        <f aca="false">COUNTIFS(Runs!$B:$B,$A81,Runs!$H:$H,$B81,Runs!$C:$C,"ChatGPT",Runs!$D:$D,"v2")</f>
        <v>0</v>
      </c>
      <c r="E81" s="13" t="n">
        <f aca="false">COUNTIFS(Runs!$B:$B,$A81,Runs!$H:$H,$B81,Runs!$C:$C,"Gemini",Runs!$D:$D,"v2")</f>
        <v>0</v>
      </c>
      <c r="F81" s="13" t="n">
        <f aca="false">D81+E81</f>
        <v>0</v>
      </c>
      <c r="G81" s="13" t="str">
        <f aca="false">IF(AND(D81&gt;0,E81&gt;0),"yes","no")</f>
        <v>no</v>
      </c>
      <c r="H81" s="13" t="str">
        <f aca="false">IF($B81="","",IF(AND(D81&gt;=4,E81&gt;=4),"LOCKED",IF(AND(D81&gt;=2,E81&gt;=2),"CANDIDATE",IF(F81&lt;=2,"DISCARD","WEAK"))))</f>
        <v/>
      </c>
      <c r="I81" s="14" t="str">
        <f aca="false">IFERROR(ROUND(AVERAGEIFS(Runs!$K:$K,Runs!$B:$B,$A81,Runs!$H:$H,$B81,Runs!$D:$D,"v2"),0),"")</f>
        <v/>
      </c>
      <c r="J81" s="8"/>
      <c r="K81" s="15"/>
    </row>
    <row r="82" customFormat="false" ht="15" hidden="false" customHeight="true" outlineLevel="0" collapsed="false">
      <c r="A82" s="12"/>
      <c r="B82" s="12"/>
      <c r="C82" s="12"/>
      <c r="D82" s="13" t="n">
        <f aca="false">COUNTIFS(Runs!$B:$B,$A82,Runs!$H:$H,$B82,Runs!$C:$C,"ChatGPT",Runs!$D:$D,"v2")</f>
        <v>0</v>
      </c>
      <c r="E82" s="13" t="n">
        <f aca="false">COUNTIFS(Runs!$B:$B,$A82,Runs!$H:$H,$B82,Runs!$C:$C,"Gemini",Runs!$D:$D,"v2")</f>
        <v>0</v>
      </c>
      <c r="F82" s="13" t="n">
        <f aca="false">D82+E82</f>
        <v>0</v>
      </c>
      <c r="G82" s="13" t="str">
        <f aca="false">IF(AND(D82&gt;0,E82&gt;0),"yes","no")</f>
        <v>no</v>
      </c>
      <c r="H82" s="13" t="str">
        <f aca="false">IF($B82="","",IF(AND(D82&gt;=4,E82&gt;=4),"LOCKED",IF(AND(D82&gt;=2,E82&gt;=2),"CANDIDATE",IF(F82&lt;=2,"DISCARD","WEAK"))))</f>
        <v/>
      </c>
      <c r="I82" s="14" t="str">
        <f aca="false">IFERROR(ROUND(AVERAGEIFS(Runs!$K:$K,Runs!$B:$B,$A82,Runs!$H:$H,$B82,Runs!$D:$D,"v2"),0),"")</f>
        <v/>
      </c>
      <c r="J82" s="8"/>
      <c r="K82" s="15"/>
    </row>
    <row r="83" customFormat="false" ht="15" hidden="false" customHeight="true" outlineLevel="0" collapsed="false">
      <c r="A83" s="12"/>
      <c r="B83" s="12"/>
      <c r="C83" s="12"/>
      <c r="D83" s="13" t="n">
        <f aca="false">COUNTIFS(Runs!$B:$B,$A83,Runs!$H:$H,$B83,Runs!$C:$C,"ChatGPT",Runs!$D:$D,"v2")</f>
        <v>0</v>
      </c>
      <c r="E83" s="13" t="n">
        <f aca="false">COUNTIFS(Runs!$B:$B,$A83,Runs!$H:$H,$B83,Runs!$C:$C,"Gemini",Runs!$D:$D,"v2")</f>
        <v>0</v>
      </c>
      <c r="F83" s="13" t="n">
        <f aca="false">D83+E83</f>
        <v>0</v>
      </c>
      <c r="G83" s="13" t="str">
        <f aca="false">IF(AND(D83&gt;0,E83&gt;0),"yes","no")</f>
        <v>no</v>
      </c>
      <c r="H83" s="13" t="str">
        <f aca="false">IF($B83="","",IF(AND(D83&gt;=4,E83&gt;=4),"LOCKED",IF(AND(D83&gt;=2,E83&gt;=2),"CANDIDATE",IF(F83&lt;=2,"DISCARD","WEAK"))))</f>
        <v/>
      </c>
      <c r="I83" s="14" t="str">
        <f aca="false">IFERROR(ROUND(AVERAGEIFS(Runs!$K:$K,Runs!$B:$B,$A83,Runs!$H:$H,$B83,Runs!$D:$D,"v2"),0),"")</f>
        <v/>
      </c>
      <c r="J83" s="8"/>
      <c r="K83" s="15"/>
    </row>
    <row r="84" customFormat="false" ht="15" hidden="false" customHeight="true" outlineLevel="0" collapsed="false">
      <c r="A84" s="12"/>
      <c r="B84" s="12"/>
      <c r="C84" s="12"/>
      <c r="D84" s="13" t="n">
        <f aca="false">COUNTIFS(Runs!$B:$B,$A84,Runs!$H:$H,$B84,Runs!$C:$C,"ChatGPT",Runs!$D:$D,"v2")</f>
        <v>0</v>
      </c>
      <c r="E84" s="13" t="n">
        <f aca="false">COUNTIFS(Runs!$B:$B,$A84,Runs!$H:$H,$B84,Runs!$C:$C,"Gemini",Runs!$D:$D,"v2")</f>
        <v>0</v>
      </c>
      <c r="F84" s="13" t="n">
        <f aca="false">D84+E84</f>
        <v>0</v>
      </c>
      <c r="G84" s="13" t="str">
        <f aca="false">IF(AND(D84&gt;0,E84&gt;0),"yes","no")</f>
        <v>no</v>
      </c>
      <c r="H84" s="13" t="str">
        <f aca="false">IF($B84="","",IF(AND(D84&gt;=4,E84&gt;=4),"LOCKED",IF(AND(D84&gt;=2,E84&gt;=2),"CANDIDATE",IF(F84&lt;=2,"DISCARD","WEAK"))))</f>
        <v/>
      </c>
      <c r="I84" s="14" t="str">
        <f aca="false">IFERROR(ROUND(AVERAGEIFS(Runs!$K:$K,Runs!$B:$B,$A84,Runs!$H:$H,$B84,Runs!$D:$D,"v2"),0),"")</f>
        <v/>
      </c>
      <c r="J84" s="8"/>
      <c r="K84" s="15"/>
    </row>
    <row r="85" customFormat="false" ht="15" hidden="false" customHeight="true" outlineLevel="0" collapsed="false">
      <c r="A85" s="12"/>
      <c r="B85" s="12"/>
      <c r="C85" s="12"/>
      <c r="D85" s="13" t="n">
        <f aca="false">COUNTIFS(Runs!$B:$B,$A85,Runs!$H:$H,$B85,Runs!$C:$C,"ChatGPT",Runs!$D:$D,"v2")</f>
        <v>0</v>
      </c>
      <c r="E85" s="13" t="n">
        <f aca="false">COUNTIFS(Runs!$B:$B,$A85,Runs!$H:$H,$B85,Runs!$C:$C,"Gemini",Runs!$D:$D,"v2")</f>
        <v>0</v>
      </c>
      <c r="F85" s="13" t="n">
        <f aca="false">D85+E85</f>
        <v>0</v>
      </c>
      <c r="G85" s="13" t="str">
        <f aca="false">IF(AND(D85&gt;0,E85&gt;0),"yes","no")</f>
        <v>no</v>
      </c>
      <c r="H85" s="13" t="str">
        <f aca="false">IF($B85="","",IF(AND(D85&gt;=4,E85&gt;=4),"LOCKED",IF(AND(D85&gt;=2,E85&gt;=2),"CANDIDATE",IF(F85&lt;=2,"DISCARD","WEAK"))))</f>
        <v/>
      </c>
      <c r="I85" s="14" t="str">
        <f aca="false">IFERROR(ROUND(AVERAGEIFS(Runs!$K:$K,Runs!$B:$B,$A85,Runs!$H:$H,$B85,Runs!$D:$D,"v2"),0),"")</f>
        <v/>
      </c>
      <c r="J85" s="8"/>
      <c r="K85" s="15"/>
    </row>
    <row r="86" customFormat="false" ht="15" hidden="false" customHeight="true" outlineLevel="0" collapsed="false">
      <c r="A86" s="12"/>
      <c r="B86" s="12"/>
      <c r="C86" s="12"/>
      <c r="D86" s="13" t="n">
        <f aca="false">COUNTIFS(Runs!$B:$B,$A86,Runs!$H:$H,$B86,Runs!$C:$C,"ChatGPT",Runs!$D:$D,"v2")</f>
        <v>0</v>
      </c>
      <c r="E86" s="13" t="n">
        <f aca="false">COUNTIFS(Runs!$B:$B,$A86,Runs!$H:$H,$B86,Runs!$C:$C,"Gemini",Runs!$D:$D,"v2")</f>
        <v>0</v>
      </c>
      <c r="F86" s="13" t="n">
        <f aca="false">D86+E86</f>
        <v>0</v>
      </c>
      <c r="G86" s="13" t="str">
        <f aca="false">IF(AND(D86&gt;0,E86&gt;0),"yes","no")</f>
        <v>no</v>
      </c>
      <c r="H86" s="13" t="str">
        <f aca="false">IF($B86="","",IF(AND(D86&gt;=4,E86&gt;=4),"LOCKED",IF(AND(D86&gt;=2,E86&gt;=2),"CANDIDATE",IF(F86&lt;=2,"DISCARD","WEAK"))))</f>
        <v/>
      </c>
      <c r="I86" s="14" t="str">
        <f aca="false">IFERROR(ROUND(AVERAGEIFS(Runs!$K:$K,Runs!$B:$B,$A86,Runs!$H:$H,$B86,Runs!$D:$D,"v2"),0),"")</f>
        <v/>
      </c>
      <c r="J86" s="8"/>
      <c r="K86" s="15"/>
    </row>
    <row r="87" customFormat="false" ht="15" hidden="false" customHeight="true" outlineLevel="0" collapsed="false">
      <c r="A87" s="12"/>
      <c r="B87" s="12"/>
      <c r="C87" s="12"/>
      <c r="D87" s="13" t="n">
        <f aca="false">COUNTIFS(Runs!$B:$B,$A87,Runs!$H:$H,$B87,Runs!$C:$C,"ChatGPT",Runs!$D:$D,"v2")</f>
        <v>0</v>
      </c>
      <c r="E87" s="13" t="n">
        <f aca="false">COUNTIFS(Runs!$B:$B,$A87,Runs!$H:$H,$B87,Runs!$C:$C,"Gemini",Runs!$D:$D,"v2")</f>
        <v>0</v>
      </c>
      <c r="F87" s="13" t="n">
        <f aca="false">D87+E87</f>
        <v>0</v>
      </c>
      <c r="G87" s="13" t="str">
        <f aca="false">IF(AND(D87&gt;0,E87&gt;0),"yes","no")</f>
        <v>no</v>
      </c>
      <c r="H87" s="13" t="str">
        <f aca="false">IF($B87="","",IF(AND(D87&gt;=4,E87&gt;=4),"LOCKED",IF(AND(D87&gt;=2,E87&gt;=2),"CANDIDATE",IF(F87&lt;=2,"DISCARD","WEAK"))))</f>
        <v/>
      </c>
      <c r="I87" s="14" t="str">
        <f aca="false">IFERROR(ROUND(AVERAGEIFS(Runs!$K:$K,Runs!$B:$B,$A87,Runs!$H:$H,$B87,Runs!$D:$D,"v2"),0),"")</f>
        <v/>
      </c>
      <c r="J87" s="8"/>
      <c r="K87" s="15"/>
    </row>
    <row r="88" customFormat="false" ht="15" hidden="false" customHeight="true" outlineLevel="0" collapsed="false">
      <c r="A88" s="12"/>
      <c r="B88" s="12"/>
      <c r="C88" s="12"/>
      <c r="D88" s="13" t="n">
        <f aca="false">COUNTIFS(Runs!$B:$B,$A88,Runs!$H:$H,$B88,Runs!$C:$C,"ChatGPT",Runs!$D:$D,"v2")</f>
        <v>0</v>
      </c>
      <c r="E88" s="13" t="n">
        <f aca="false">COUNTIFS(Runs!$B:$B,$A88,Runs!$H:$H,$B88,Runs!$C:$C,"Gemini",Runs!$D:$D,"v2")</f>
        <v>0</v>
      </c>
      <c r="F88" s="13" t="n">
        <f aca="false">D88+E88</f>
        <v>0</v>
      </c>
      <c r="G88" s="13" t="str">
        <f aca="false">IF(AND(D88&gt;0,E88&gt;0),"yes","no")</f>
        <v>no</v>
      </c>
      <c r="H88" s="13" t="str">
        <f aca="false">IF($B88="","",IF(AND(D88&gt;=4,E88&gt;=4),"LOCKED",IF(AND(D88&gt;=2,E88&gt;=2),"CANDIDATE",IF(F88&lt;=2,"DISCARD","WEAK"))))</f>
        <v/>
      </c>
      <c r="I88" s="14" t="str">
        <f aca="false">IFERROR(ROUND(AVERAGEIFS(Runs!$K:$K,Runs!$B:$B,$A88,Runs!$H:$H,$B88,Runs!$D:$D,"v2"),0),"")</f>
        <v/>
      </c>
      <c r="J88" s="8"/>
      <c r="K88" s="15"/>
    </row>
    <row r="89" customFormat="false" ht="15" hidden="false" customHeight="true" outlineLevel="0" collapsed="false">
      <c r="A89" s="12"/>
      <c r="B89" s="12"/>
      <c r="C89" s="12"/>
      <c r="D89" s="13" t="n">
        <f aca="false">COUNTIFS(Runs!$B:$B,$A89,Runs!$H:$H,$B89,Runs!$C:$C,"ChatGPT",Runs!$D:$D,"v2")</f>
        <v>0</v>
      </c>
      <c r="E89" s="13" t="n">
        <f aca="false">COUNTIFS(Runs!$B:$B,$A89,Runs!$H:$H,$B89,Runs!$C:$C,"Gemini",Runs!$D:$D,"v2")</f>
        <v>0</v>
      </c>
      <c r="F89" s="13" t="n">
        <f aca="false">D89+E89</f>
        <v>0</v>
      </c>
      <c r="G89" s="13" t="str">
        <f aca="false">IF(AND(D89&gt;0,E89&gt;0),"yes","no")</f>
        <v>no</v>
      </c>
      <c r="H89" s="13" t="str">
        <f aca="false">IF($B89="","",IF(AND(D89&gt;=4,E89&gt;=4),"LOCKED",IF(AND(D89&gt;=2,E89&gt;=2),"CANDIDATE",IF(F89&lt;=2,"DISCARD","WEAK"))))</f>
        <v/>
      </c>
      <c r="I89" s="14" t="str">
        <f aca="false">IFERROR(ROUND(AVERAGEIFS(Runs!$K:$K,Runs!$B:$B,$A89,Runs!$H:$H,$B89,Runs!$D:$D,"v2"),0),"")</f>
        <v/>
      </c>
      <c r="J89" s="8"/>
      <c r="K89" s="15"/>
    </row>
    <row r="90" customFormat="false" ht="15" hidden="false" customHeight="true" outlineLevel="0" collapsed="false">
      <c r="A90" s="12"/>
      <c r="B90" s="12"/>
      <c r="C90" s="12"/>
      <c r="D90" s="13" t="n">
        <f aca="false">COUNTIFS(Runs!$B:$B,$A90,Runs!$H:$H,$B90,Runs!$C:$C,"ChatGPT",Runs!$D:$D,"v2")</f>
        <v>0</v>
      </c>
      <c r="E90" s="13" t="n">
        <f aca="false">COUNTIFS(Runs!$B:$B,$A90,Runs!$H:$H,$B90,Runs!$C:$C,"Gemini",Runs!$D:$D,"v2")</f>
        <v>0</v>
      </c>
      <c r="F90" s="13" t="n">
        <f aca="false">D90+E90</f>
        <v>0</v>
      </c>
      <c r="G90" s="13" t="str">
        <f aca="false">IF(AND(D90&gt;0,E90&gt;0),"yes","no")</f>
        <v>no</v>
      </c>
      <c r="H90" s="13" t="str">
        <f aca="false">IF($B90="","",IF(AND(D90&gt;=4,E90&gt;=4),"LOCKED",IF(AND(D90&gt;=2,E90&gt;=2),"CANDIDATE",IF(F90&lt;=2,"DISCARD","WEAK"))))</f>
        <v/>
      </c>
      <c r="I90" s="14" t="str">
        <f aca="false">IFERROR(ROUND(AVERAGEIFS(Runs!$K:$K,Runs!$B:$B,$A90,Runs!$H:$H,$B90,Runs!$D:$D,"v2"),0),"")</f>
        <v/>
      </c>
      <c r="J90" s="8"/>
      <c r="K90" s="15"/>
    </row>
    <row r="91" customFormat="false" ht="15" hidden="false" customHeight="true" outlineLevel="0" collapsed="false">
      <c r="A91" s="12"/>
      <c r="B91" s="12"/>
      <c r="C91" s="12"/>
      <c r="D91" s="13" t="n">
        <f aca="false">COUNTIFS(Runs!$B:$B,$A91,Runs!$H:$H,$B91,Runs!$C:$C,"ChatGPT",Runs!$D:$D,"v2")</f>
        <v>0</v>
      </c>
      <c r="E91" s="13" t="n">
        <f aca="false">COUNTIFS(Runs!$B:$B,$A91,Runs!$H:$H,$B91,Runs!$C:$C,"Gemini",Runs!$D:$D,"v2")</f>
        <v>0</v>
      </c>
      <c r="F91" s="13" t="n">
        <f aca="false">D91+E91</f>
        <v>0</v>
      </c>
      <c r="G91" s="13" t="str">
        <f aca="false">IF(AND(D91&gt;0,E91&gt;0),"yes","no")</f>
        <v>no</v>
      </c>
      <c r="H91" s="13" t="str">
        <f aca="false">IF($B91="","",IF(AND(D91&gt;=4,E91&gt;=4),"LOCKED",IF(AND(D91&gt;=2,E91&gt;=2),"CANDIDATE",IF(F91&lt;=2,"DISCARD","WEAK"))))</f>
        <v/>
      </c>
      <c r="I91" s="14" t="str">
        <f aca="false">IFERROR(ROUND(AVERAGEIFS(Runs!$K:$K,Runs!$B:$B,$A91,Runs!$H:$H,$B91,Runs!$D:$D,"v2"),0),"")</f>
        <v/>
      </c>
      <c r="J91" s="8"/>
      <c r="K91" s="15"/>
    </row>
    <row r="92" customFormat="false" ht="15" hidden="false" customHeight="true" outlineLevel="0" collapsed="false">
      <c r="A92" s="12"/>
      <c r="B92" s="12"/>
      <c r="C92" s="12"/>
      <c r="D92" s="13" t="n">
        <f aca="false">COUNTIFS(Runs!$B:$B,$A92,Runs!$H:$H,$B92,Runs!$C:$C,"ChatGPT",Runs!$D:$D,"v2")</f>
        <v>0</v>
      </c>
      <c r="E92" s="13" t="n">
        <f aca="false">COUNTIFS(Runs!$B:$B,$A92,Runs!$H:$H,$B92,Runs!$C:$C,"Gemini",Runs!$D:$D,"v2")</f>
        <v>0</v>
      </c>
      <c r="F92" s="13" t="n">
        <f aca="false">D92+E92</f>
        <v>0</v>
      </c>
      <c r="G92" s="13" t="str">
        <f aca="false">IF(AND(D92&gt;0,E92&gt;0),"yes","no")</f>
        <v>no</v>
      </c>
      <c r="H92" s="13" t="str">
        <f aca="false">IF($B92="","",IF(AND(D92&gt;=4,E92&gt;=4),"LOCKED",IF(AND(D92&gt;=2,E92&gt;=2),"CANDIDATE",IF(F92&lt;=2,"DISCARD","WEAK"))))</f>
        <v/>
      </c>
      <c r="I92" s="14" t="str">
        <f aca="false">IFERROR(ROUND(AVERAGEIFS(Runs!$K:$K,Runs!$B:$B,$A92,Runs!$H:$H,$B92,Runs!$D:$D,"v2"),0),"")</f>
        <v/>
      </c>
      <c r="J92" s="8"/>
      <c r="K92" s="15"/>
    </row>
    <row r="93" customFormat="false" ht="15" hidden="false" customHeight="true" outlineLevel="0" collapsed="false">
      <c r="A93" s="12"/>
      <c r="B93" s="12"/>
      <c r="C93" s="12"/>
      <c r="D93" s="13" t="n">
        <f aca="false">COUNTIFS(Runs!$B:$B,$A93,Runs!$H:$H,$B93,Runs!$C:$C,"ChatGPT",Runs!$D:$D,"v2")</f>
        <v>0</v>
      </c>
      <c r="E93" s="13" t="n">
        <f aca="false">COUNTIFS(Runs!$B:$B,$A93,Runs!$H:$H,$B93,Runs!$C:$C,"Gemini",Runs!$D:$D,"v2")</f>
        <v>0</v>
      </c>
      <c r="F93" s="13" t="n">
        <f aca="false">D93+E93</f>
        <v>0</v>
      </c>
      <c r="G93" s="13" t="str">
        <f aca="false">IF(AND(D93&gt;0,E93&gt;0),"yes","no")</f>
        <v>no</v>
      </c>
      <c r="H93" s="13" t="str">
        <f aca="false">IF($B93="","",IF(AND(D93&gt;=4,E93&gt;=4),"LOCKED",IF(AND(D93&gt;=2,E93&gt;=2),"CANDIDATE",IF(F93&lt;=2,"DISCARD","WEAK"))))</f>
        <v/>
      </c>
      <c r="I93" s="14" t="str">
        <f aca="false">IFERROR(ROUND(AVERAGEIFS(Runs!$K:$K,Runs!$B:$B,$A93,Runs!$H:$H,$B93,Runs!$D:$D,"v2"),0),"")</f>
        <v/>
      </c>
      <c r="J93" s="8"/>
      <c r="K93" s="15"/>
    </row>
    <row r="94" customFormat="false" ht="15" hidden="false" customHeight="true" outlineLevel="0" collapsed="false">
      <c r="A94" s="12"/>
      <c r="B94" s="12"/>
      <c r="C94" s="12"/>
      <c r="D94" s="13" t="n">
        <f aca="false">COUNTIFS(Runs!$B:$B,$A94,Runs!$H:$H,$B94,Runs!$C:$C,"ChatGPT",Runs!$D:$D,"v2")</f>
        <v>0</v>
      </c>
      <c r="E94" s="13" t="n">
        <f aca="false">COUNTIFS(Runs!$B:$B,$A94,Runs!$H:$H,$B94,Runs!$C:$C,"Gemini",Runs!$D:$D,"v2")</f>
        <v>0</v>
      </c>
      <c r="F94" s="13" t="n">
        <f aca="false">D94+E94</f>
        <v>0</v>
      </c>
      <c r="G94" s="13" t="str">
        <f aca="false">IF(AND(D94&gt;0,E94&gt;0),"yes","no")</f>
        <v>no</v>
      </c>
      <c r="H94" s="13" t="str">
        <f aca="false">IF($B94="","",IF(AND(D94&gt;=4,E94&gt;=4),"LOCKED",IF(AND(D94&gt;=2,E94&gt;=2),"CANDIDATE",IF(F94&lt;=2,"DISCARD","WEAK"))))</f>
        <v/>
      </c>
      <c r="I94" s="14" t="str">
        <f aca="false">IFERROR(ROUND(AVERAGEIFS(Runs!$K:$K,Runs!$B:$B,$A94,Runs!$H:$H,$B94,Runs!$D:$D,"v2"),0),"")</f>
        <v/>
      </c>
      <c r="J94" s="8"/>
      <c r="K94" s="15"/>
    </row>
    <row r="95" customFormat="false" ht="15" hidden="false" customHeight="true" outlineLevel="0" collapsed="false">
      <c r="A95" s="12"/>
      <c r="B95" s="12"/>
      <c r="C95" s="12"/>
      <c r="D95" s="13" t="n">
        <f aca="false">COUNTIFS(Runs!$B:$B,$A95,Runs!$H:$H,$B95,Runs!$C:$C,"ChatGPT",Runs!$D:$D,"v2")</f>
        <v>0</v>
      </c>
      <c r="E95" s="13" t="n">
        <f aca="false">COUNTIFS(Runs!$B:$B,$A95,Runs!$H:$H,$B95,Runs!$C:$C,"Gemini",Runs!$D:$D,"v2")</f>
        <v>0</v>
      </c>
      <c r="F95" s="13" t="n">
        <f aca="false">D95+E95</f>
        <v>0</v>
      </c>
      <c r="G95" s="13" t="str">
        <f aca="false">IF(AND(D95&gt;0,E95&gt;0),"yes","no")</f>
        <v>no</v>
      </c>
      <c r="H95" s="13" t="str">
        <f aca="false">IF($B95="","",IF(AND(D95&gt;=4,E95&gt;=4),"LOCKED",IF(AND(D95&gt;=2,E95&gt;=2),"CANDIDATE",IF(F95&lt;=2,"DISCARD","WEAK"))))</f>
        <v/>
      </c>
      <c r="I95" s="14" t="str">
        <f aca="false">IFERROR(ROUND(AVERAGEIFS(Runs!$K:$K,Runs!$B:$B,$A95,Runs!$H:$H,$B95,Runs!$D:$D,"v2"),0),"")</f>
        <v/>
      </c>
      <c r="J95" s="8"/>
      <c r="K95" s="15"/>
    </row>
    <row r="96" customFormat="false" ht="15" hidden="false" customHeight="true" outlineLevel="0" collapsed="false">
      <c r="A96" s="12"/>
      <c r="B96" s="12"/>
      <c r="C96" s="12"/>
      <c r="D96" s="13" t="n">
        <f aca="false">COUNTIFS(Runs!$B:$B,$A96,Runs!$H:$H,$B96,Runs!$C:$C,"ChatGPT",Runs!$D:$D,"v2")</f>
        <v>0</v>
      </c>
      <c r="E96" s="13" t="n">
        <f aca="false">COUNTIFS(Runs!$B:$B,$A96,Runs!$H:$H,$B96,Runs!$C:$C,"Gemini",Runs!$D:$D,"v2")</f>
        <v>0</v>
      </c>
      <c r="F96" s="13" t="n">
        <f aca="false">D96+E96</f>
        <v>0</v>
      </c>
      <c r="G96" s="13" t="str">
        <f aca="false">IF(AND(D96&gt;0,E96&gt;0),"yes","no")</f>
        <v>no</v>
      </c>
      <c r="H96" s="13" t="str">
        <f aca="false">IF($B96="","",IF(AND(D96&gt;=4,E96&gt;=4),"LOCKED",IF(AND(D96&gt;=2,E96&gt;=2),"CANDIDATE",IF(F96&lt;=2,"DISCARD","WEAK"))))</f>
        <v/>
      </c>
      <c r="I96" s="14" t="str">
        <f aca="false">IFERROR(ROUND(AVERAGEIFS(Runs!$K:$K,Runs!$B:$B,$A96,Runs!$H:$H,$B96,Runs!$D:$D,"v2"),0),"")</f>
        <v/>
      </c>
      <c r="J96" s="8"/>
      <c r="K96" s="15"/>
    </row>
    <row r="97" customFormat="false" ht="15" hidden="false" customHeight="true" outlineLevel="0" collapsed="false">
      <c r="A97" s="12"/>
      <c r="B97" s="12"/>
      <c r="C97" s="12"/>
      <c r="D97" s="13" t="n">
        <f aca="false">COUNTIFS(Runs!$B:$B,$A97,Runs!$H:$H,$B97,Runs!$C:$C,"ChatGPT",Runs!$D:$D,"v2")</f>
        <v>0</v>
      </c>
      <c r="E97" s="13" t="n">
        <f aca="false">COUNTIFS(Runs!$B:$B,$A97,Runs!$H:$H,$B97,Runs!$C:$C,"Gemini",Runs!$D:$D,"v2")</f>
        <v>0</v>
      </c>
      <c r="F97" s="13" t="n">
        <f aca="false">D97+E97</f>
        <v>0</v>
      </c>
      <c r="G97" s="13" t="str">
        <f aca="false">IF(AND(D97&gt;0,E97&gt;0),"yes","no")</f>
        <v>no</v>
      </c>
      <c r="H97" s="13" t="str">
        <f aca="false">IF($B97="","",IF(AND(D97&gt;=4,E97&gt;=4),"LOCKED",IF(AND(D97&gt;=2,E97&gt;=2),"CANDIDATE",IF(F97&lt;=2,"DISCARD","WEAK"))))</f>
        <v/>
      </c>
      <c r="I97" s="14" t="str">
        <f aca="false">IFERROR(ROUND(AVERAGEIFS(Runs!$K:$K,Runs!$B:$B,$A97,Runs!$H:$H,$B97,Runs!$D:$D,"v2"),0),"")</f>
        <v/>
      </c>
      <c r="J97" s="8"/>
      <c r="K97" s="15"/>
    </row>
    <row r="98" customFormat="false" ht="15" hidden="false" customHeight="true" outlineLevel="0" collapsed="false">
      <c r="A98" s="12"/>
      <c r="B98" s="12"/>
      <c r="C98" s="12"/>
      <c r="D98" s="13" t="n">
        <f aca="false">COUNTIFS(Runs!$B:$B,$A98,Runs!$H:$H,$B98,Runs!$C:$C,"ChatGPT",Runs!$D:$D,"v2")</f>
        <v>0</v>
      </c>
      <c r="E98" s="13" t="n">
        <f aca="false">COUNTIFS(Runs!$B:$B,$A98,Runs!$H:$H,$B98,Runs!$C:$C,"Gemini",Runs!$D:$D,"v2")</f>
        <v>0</v>
      </c>
      <c r="F98" s="13" t="n">
        <f aca="false">D98+E98</f>
        <v>0</v>
      </c>
      <c r="G98" s="13" t="str">
        <f aca="false">IF(AND(D98&gt;0,E98&gt;0),"yes","no")</f>
        <v>no</v>
      </c>
      <c r="H98" s="13" t="str">
        <f aca="false">IF($B98="","",IF(AND(D98&gt;=4,E98&gt;=4),"LOCKED",IF(AND(D98&gt;=2,E98&gt;=2),"CANDIDATE",IF(F98&lt;=2,"DISCARD","WEAK"))))</f>
        <v/>
      </c>
      <c r="I98" s="14" t="str">
        <f aca="false">IFERROR(ROUND(AVERAGEIFS(Runs!$K:$K,Runs!$B:$B,$A98,Runs!$H:$H,$B98,Runs!$D:$D,"v2"),0),"")</f>
        <v/>
      </c>
      <c r="J98" s="8"/>
      <c r="K98" s="15"/>
    </row>
    <row r="99" customFormat="false" ht="15" hidden="false" customHeight="true" outlineLevel="0" collapsed="false">
      <c r="A99" s="12"/>
      <c r="B99" s="12"/>
      <c r="C99" s="12"/>
      <c r="D99" s="13" t="n">
        <f aca="false">COUNTIFS(Runs!$B:$B,$A99,Runs!$H:$H,$B99,Runs!$C:$C,"ChatGPT",Runs!$D:$D,"v2")</f>
        <v>0</v>
      </c>
      <c r="E99" s="13" t="n">
        <f aca="false">COUNTIFS(Runs!$B:$B,$A99,Runs!$H:$H,$B99,Runs!$C:$C,"Gemini",Runs!$D:$D,"v2")</f>
        <v>0</v>
      </c>
      <c r="F99" s="13" t="n">
        <f aca="false">D99+E99</f>
        <v>0</v>
      </c>
      <c r="G99" s="13" t="str">
        <f aca="false">IF(AND(D99&gt;0,E99&gt;0),"yes","no")</f>
        <v>no</v>
      </c>
      <c r="H99" s="13" t="str">
        <f aca="false">IF($B99="","",IF(AND(D99&gt;=4,E99&gt;=4),"LOCKED",IF(AND(D99&gt;=2,E99&gt;=2),"CANDIDATE",IF(F99&lt;=2,"DISCARD","WEAK"))))</f>
        <v/>
      </c>
      <c r="I99" s="14" t="str">
        <f aca="false">IFERROR(ROUND(AVERAGEIFS(Runs!$K:$K,Runs!$B:$B,$A99,Runs!$H:$H,$B99,Runs!$D:$D,"v2"),0),"")</f>
        <v/>
      </c>
      <c r="J99" s="8"/>
      <c r="K99" s="15"/>
    </row>
    <row r="100" customFormat="false" ht="15" hidden="false" customHeight="true" outlineLevel="0" collapsed="false">
      <c r="A100" s="12"/>
      <c r="B100" s="12"/>
      <c r="C100" s="12"/>
      <c r="D100" s="13" t="n">
        <f aca="false">COUNTIFS(Runs!$B:$B,$A100,Runs!$H:$H,$B100,Runs!$C:$C,"ChatGPT",Runs!$D:$D,"v2")</f>
        <v>0</v>
      </c>
      <c r="E100" s="13" t="n">
        <f aca="false">COUNTIFS(Runs!$B:$B,$A100,Runs!$H:$H,$B100,Runs!$C:$C,"Gemini",Runs!$D:$D,"v2")</f>
        <v>0</v>
      </c>
      <c r="F100" s="13" t="n">
        <f aca="false">D100+E100</f>
        <v>0</v>
      </c>
      <c r="G100" s="13" t="str">
        <f aca="false">IF(AND(D100&gt;0,E100&gt;0),"yes","no")</f>
        <v>no</v>
      </c>
      <c r="H100" s="13" t="str">
        <f aca="false">IF($B100="","",IF(AND(D100&gt;=4,E100&gt;=4),"LOCKED",IF(AND(D100&gt;=2,E100&gt;=2),"CANDIDATE",IF(F100&lt;=2,"DISCARD","WEAK"))))</f>
        <v/>
      </c>
      <c r="I100" s="14" t="str">
        <f aca="false">IFERROR(ROUND(AVERAGEIFS(Runs!$K:$K,Runs!$B:$B,$A100,Runs!$H:$H,$B100,Runs!$D:$D,"v2"),0),"")</f>
        <v/>
      </c>
      <c r="J100" s="8"/>
      <c r="K100" s="15"/>
    </row>
    <row r="101" customFormat="false" ht="15" hidden="false" customHeight="true" outlineLevel="0" collapsed="false">
      <c r="A101" s="12"/>
      <c r="B101" s="12"/>
      <c r="C101" s="12"/>
      <c r="D101" s="13" t="n">
        <f aca="false">COUNTIFS(Runs!$B:$B,$A101,Runs!$H:$H,$B101,Runs!$C:$C,"ChatGPT",Runs!$D:$D,"v2")</f>
        <v>0</v>
      </c>
      <c r="E101" s="13" t="n">
        <f aca="false">COUNTIFS(Runs!$B:$B,$A101,Runs!$H:$H,$B101,Runs!$C:$C,"Gemini",Runs!$D:$D,"v2")</f>
        <v>0</v>
      </c>
      <c r="F101" s="13" t="n">
        <f aca="false">D101+E101</f>
        <v>0</v>
      </c>
      <c r="G101" s="13" t="str">
        <f aca="false">IF(AND(D101&gt;0,E101&gt;0),"yes","no")</f>
        <v>no</v>
      </c>
      <c r="H101" s="13" t="str">
        <f aca="false">IF($B101="","",IF(AND(D101&gt;=4,E101&gt;=4),"LOCKED",IF(AND(D101&gt;=2,E101&gt;=2),"CANDIDATE",IF(F101&lt;=2,"DISCARD","WEAK"))))</f>
        <v/>
      </c>
      <c r="I101" s="14" t="str">
        <f aca="false">IFERROR(ROUND(AVERAGEIFS(Runs!$K:$K,Runs!$B:$B,$A101,Runs!$H:$H,$B101,Runs!$D:$D,"v2"),0),"")</f>
        <v/>
      </c>
      <c r="J101" s="8"/>
      <c r="K101" s="15"/>
    </row>
    <row r="102" customFormat="false" ht="15" hidden="false" customHeight="true" outlineLevel="0" collapsed="false">
      <c r="A102" s="12"/>
      <c r="B102" s="12"/>
      <c r="C102" s="12"/>
      <c r="D102" s="13" t="n">
        <f aca="false">COUNTIFS(Runs!$B:$B,$A102,Runs!$H:$H,$B102,Runs!$C:$C,"ChatGPT",Runs!$D:$D,"v2")</f>
        <v>0</v>
      </c>
      <c r="E102" s="13" t="n">
        <f aca="false">COUNTIFS(Runs!$B:$B,$A102,Runs!$H:$H,$B102,Runs!$C:$C,"Gemini",Runs!$D:$D,"v2")</f>
        <v>0</v>
      </c>
      <c r="F102" s="13" t="n">
        <f aca="false">D102+E102</f>
        <v>0</v>
      </c>
      <c r="G102" s="13" t="str">
        <f aca="false">IF(AND(D102&gt;0,E102&gt;0),"yes","no")</f>
        <v>no</v>
      </c>
      <c r="H102" s="13" t="str">
        <f aca="false">IF($B102="","",IF(AND(D102&gt;=4,E102&gt;=4),"LOCKED",IF(AND(D102&gt;=2,E102&gt;=2),"CANDIDATE",IF(F102&lt;=2,"DISCARD","WEAK"))))</f>
        <v/>
      </c>
      <c r="I102" s="14" t="str">
        <f aca="false">IFERROR(ROUND(AVERAGEIFS(Runs!$K:$K,Runs!$B:$B,$A102,Runs!$H:$H,$B102,Runs!$D:$D,"v2"),0),"")</f>
        <v/>
      </c>
      <c r="J102" s="8"/>
      <c r="K102" s="15"/>
    </row>
    <row r="103" customFormat="false" ht="15" hidden="false" customHeight="true" outlineLevel="0" collapsed="false">
      <c r="A103" s="12"/>
      <c r="B103" s="12"/>
      <c r="C103" s="12"/>
      <c r="D103" s="13" t="n">
        <f aca="false">COUNTIFS(Runs!$B:$B,$A103,Runs!$H:$H,$B103,Runs!$C:$C,"ChatGPT",Runs!$D:$D,"v2")</f>
        <v>0</v>
      </c>
      <c r="E103" s="13" t="n">
        <f aca="false">COUNTIFS(Runs!$B:$B,$A103,Runs!$H:$H,$B103,Runs!$C:$C,"Gemini",Runs!$D:$D,"v2")</f>
        <v>0</v>
      </c>
      <c r="F103" s="13" t="n">
        <f aca="false">D103+E103</f>
        <v>0</v>
      </c>
      <c r="G103" s="13" t="str">
        <f aca="false">IF(AND(D103&gt;0,E103&gt;0),"yes","no")</f>
        <v>no</v>
      </c>
      <c r="H103" s="13" t="str">
        <f aca="false">IF($B103="","",IF(AND(D103&gt;=4,E103&gt;=4),"LOCKED",IF(AND(D103&gt;=2,E103&gt;=2),"CANDIDATE",IF(F103&lt;=2,"DISCARD","WEAK"))))</f>
        <v/>
      </c>
      <c r="I103" s="14" t="str">
        <f aca="false">IFERROR(ROUND(AVERAGEIFS(Runs!$K:$K,Runs!$B:$B,$A103,Runs!$H:$H,$B103,Runs!$D:$D,"v2"),0),"")</f>
        <v/>
      </c>
      <c r="J103" s="8"/>
      <c r="K103" s="15"/>
    </row>
    <row r="104" customFormat="false" ht="15" hidden="false" customHeight="true" outlineLevel="0" collapsed="false">
      <c r="A104" s="12"/>
      <c r="B104" s="12"/>
      <c r="C104" s="12"/>
      <c r="D104" s="13" t="n">
        <f aca="false">COUNTIFS(Runs!$B:$B,$A104,Runs!$H:$H,$B104,Runs!$C:$C,"ChatGPT",Runs!$D:$D,"v2")</f>
        <v>0</v>
      </c>
      <c r="E104" s="13" t="n">
        <f aca="false">COUNTIFS(Runs!$B:$B,$A104,Runs!$H:$H,$B104,Runs!$C:$C,"Gemini",Runs!$D:$D,"v2")</f>
        <v>0</v>
      </c>
      <c r="F104" s="13" t="n">
        <f aca="false">D104+E104</f>
        <v>0</v>
      </c>
      <c r="G104" s="13" t="str">
        <f aca="false">IF(AND(D104&gt;0,E104&gt;0),"yes","no")</f>
        <v>no</v>
      </c>
      <c r="H104" s="13" t="str">
        <f aca="false">IF($B104="","",IF(AND(D104&gt;=4,E104&gt;=4),"LOCKED",IF(AND(D104&gt;=2,E104&gt;=2),"CANDIDATE",IF(F104&lt;=2,"DISCARD","WEAK"))))</f>
        <v/>
      </c>
      <c r="I104" s="14" t="str">
        <f aca="false">IFERROR(ROUND(AVERAGEIFS(Runs!$K:$K,Runs!$B:$B,$A104,Runs!$H:$H,$B104,Runs!$D:$D,"v2"),0),"")</f>
        <v/>
      </c>
      <c r="J104" s="8"/>
      <c r="K104" s="15"/>
    </row>
    <row r="105" customFormat="false" ht="15" hidden="false" customHeight="true" outlineLevel="0" collapsed="false">
      <c r="A105" s="12"/>
      <c r="B105" s="12"/>
      <c r="C105" s="12"/>
      <c r="D105" s="13" t="n">
        <f aca="false">COUNTIFS(Runs!$B:$B,$A105,Runs!$H:$H,$B105,Runs!$C:$C,"ChatGPT",Runs!$D:$D,"v2")</f>
        <v>0</v>
      </c>
      <c r="E105" s="13" t="n">
        <f aca="false">COUNTIFS(Runs!$B:$B,$A105,Runs!$H:$H,$B105,Runs!$C:$C,"Gemini",Runs!$D:$D,"v2")</f>
        <v>0</v>
      </c>
      <c r="F105" s="13" t="n">
        <f aca="false">D105+E105</f>
        <v>0</v>
      </c>
      <c r="G105" s="13" t="str">
        <f aca="false">IF(AND(D105&gt;0,E105&gt;0),"yes","no")</f>
        <v>no</v>
      </c>
      <c r="H105" s="13" t="str">
        <f aca="false">IF($B105="","",IF(AND(D105&gt;=4,E105&gt;=4),"LOCKED",IF(AND(D105&gt;=2,E105&gt;=2),"CANDIDATE",IF(F105&lt;=2,"DISCARD","WEAK"))))</f>
        <v/>
      </c>
      <c r="I105" s="14" t="str">
        <f aca="false">IFERROR(ROUND(AVERAGEIFS(Runs!$K:$K,Runs!$B:$B,$A105,Runs!$H:$H,$B105,Runs!$D:$D,"v2"),0),"")</f>
        <v/>
      </c>
      <c r="J105" s="8"/>
      <c r="K105" s="15"/>
    </row>
    <row r="106" customFormat="false" ht="15" hidden="false" customHeight="true" outlineLevel="0" collapsed="false">
      <c r="A106" s="12"/>
      <c r="B106" s="12"/>
      <c r="C106" s="12"/>
      <c r="D106" s="13" t="n">
        <f aca="false">COUNTIFS(Runs!$B:$B,$A106,Runs!$H:$H,$B106,Runs!$C:$C,"ChatGPT",Runs!$D:$D,"v2")</f>
        <v>0</v>
      </c>
      <c r="E106" s="13" t="n">
        <f aca="false">COUNTIFS(Runs!$B:$B,$A106,Runs!$H:$H,$B106,Runs!$C:$C,"Gemini",Runs!$D:$D,"v2")</f>
        <v>0</v>
      </c>
      <c r="F106" s="13" t="n">
        <f aca="false">D106+E106</f>
        <v>0</v>
      </c>
      <c r="G106" s="13" t="str">
        <f aca="false">IF(AND(D106&gt;0,E106&gt;0),"yes","no")</f>
        <v>no</v>
      </c>
      <c r="H106" s="13" t="str">
        <f aca="false">IF($B106="","",IF(AND(D106&gt;=4,E106&gt;=4),"LOCKED",IF(AND(D106&gt;=2,E106&gt;=2),"CANDIDATE",IF(F106&lt;=2,"DISCARD","WEAK"))))</f>
        <v/>
      </c>
      <c r="I106" s="14" t="str">
        <f aca="false">IFERROR(ROUND(AVERAGEIFS(Runs!$K:$K,Runs!$B:$B,$A106,Runs!$H:$H,$B106,Runs!$D:$D,"v2"),0),"")</f>
        <v/>
      </c>
      <c r="J106" s="8"/>
      <c r="K106" s="15"/>
    </row>
    <row r="107" customFormat="false" ht="15" hidden="false" customHeight="true" outlineLevel="0" collapsed="false">
      <c r="A107" s="12"/>
      <c r="B107" s="12"/>
      <c r="C107" s="12"/>
      <c r="D107" s="13" t="n">
        <f aca="false">COUNTIFS(Runs!$B:$B,$A107,Runs!$H:$H,$B107,Runs!$C:$C,"ChatGPT",Runs!$D:$D,"v2")</f>
        <v>0</v>
      </c>
      <c r="E107" s="13" t="n">
        <f aca="false">COUNTIFS(Runs!$B:$B,$A107,Runs!$H:$H,$B107,Runs!$C:$C,"Gemini",Runs!$D:$D,"v2")</f>
        <v>0</v>
      </c>
      <c r="F107" s="13" t="n">
        <f aca="false">D107+E107</f>
        <v>0</v>
      </c>
      <c r="G107" s="13" t="str">
        <f aca="false">IF(AND(D107&gt;0,E107&gt;0),"yes","no")</f>
        <v>no</v>
      </c>
      <c r="H107" s="13" t="str">
        <f aca="false">IF($B107="","",IF(AND(D107&gt;=4,E107&gt;=4),"LOCKED",IF(AND(D107&gt;=2,E107&gt;=2),"CANDIDATE",IF(F107&lt;=2,"DISCARD","WEAK"))))</f>
        <v/>
      </c>
      <c r="I107" s="14" t="str">
        <f aca="false">IFERROR(ROUND(AVERAGEIFS(Runs!$K:$K,Runs!$B:$B,$A107,Runs!$H:$H,$B107,Runs!$D:$D,"v2"),0),"")</f>
        <v/>
      </c>
      <c r="J107" s="8"/>
      <c r="K107" s="15"/>
    </row>
    <row r="108" customFormat="false" ht="15" hidden="false" customHeight="true" outlineLevel="0" collapsed="false">
      <c r="A108" s="12"/>
      <c r="B108" s="12"/>
      <c r="C108" s="12"/>
      <c r="D108" s="13" t="n">
        <f aca="false">COUNTIFS(Runs!$B:$B,$A108,Runs!$H:$H,$B108,Runs!$C:$C,"ChatGPT",Runs!$D:$D,"v2")</f>
        <v>0</v>
      </c>
      <c r="E108" s="13" t="n">
        <f aca="false">COUNTIFS(Runs!$B:$B,$A108,Runs!$H:$H,$B108,Runs!$C:$C,"Gemini",Runs!$D:$D,"v2")</f>
        <v>0</v>
      </c>
      <c r="F108" s="13" t="n">
        <f aca="false">D108+E108</f>
        <v>0</v>
      </c>
      <c r="G108" s="13" t="str">
        <f aca="false">IF(AND(D108&gt;0,E108&gt;0),"yes","no")</f>
        <v>no</v>
      </c>
      <c r="H108" s="13" t="str">
        <f aca="false">IF($B108="","",IF(AND(D108&gt;=4,E108&gt;=4),"LOCKED",IF(AND(D108&gt;=2,E108&gt;=2),"CANDIDATE",IF(F108&lt;=2,"DISCARD","WEAK"))))</f>
        <v/>
      </c>
      <c r="I108" s="14" t="str">
        <f aca="false">IFERROR(ROUND(AVERAGEIFS(Runs!$K:$K,Runs!$B:$B,$A108,Runs!$H:$H,$B108,Runs!$D:$D,"v2"),0),"")</f>
        <v/>
      </c>
      <c r="J108" s="8"/>
      <c r="K108" s="15"/>
    </row>
    <row r="109" customFormat="false" ht="15" hidden="false" customHeight="true" outlineLevel="0" collapsed="false">
      <c r="A109" s="12"/>
      <c r="B109" s="12"/>
      <c r="C109" s="12"/>
      <c r="D109" s="13" t="n">
        <f aca="false">COUNTIFS(Runs!$B:$B,$A109,Runs!$H:$H,$B109,Runs!$C:$C,"ChatGPT",Runs!$D:$D,"v2")</f>
        <v>0</v>
      </c>
      <c r="E109" s="13" t="n">
        <f aca="false">COUNTIFS(Runs!$B:$B,$A109,Runs!$H:$H,$B109,Runs!$C:$C,"Gemini",Runs!$D:$D,"v2")</f>
        <v>0</v>
      </c>
      <c r="F109" s="13" t="n">
        <f aca="false">D109+E109</f>
        <v>0</v>
      </c>
      <c r="G109" s="13" t="str">
        <f aca="false">IF(AND(D109&gt;0,E109&gt;0),"yes","no")</f>
        <v>no</v>
      </c>
      <c r="H109" s="13" t="str">
        <f aca="false">IF($B109="","",IF(AND(D109&gt;=4,E109&gt;=4),"LOCKED",IF(AND(D109&gt;=2,E109&gt;=2),"CANDIDATE",IF(F109&lt;=2,"DISCARD","WEAK"))))</f>
        <v/>
      </c>
      <c r="I109" s="14" t="str">
        <f aca="false">IFERROR(ROUND(AVERAGEIFS(Runs!$K:$K,Runs!$B:$B,$A109,Runs!$H:$H,$B109,Runs!$D:$D,"v2"),0),"")</f>
        <v/>
      </c>
      <c r="J109" s="8"/>
      <c r="K109" s="15"/>
    </row>
    <row r="110" customFormat="false" ht="15" hidden="false" customHeight="true" outlineLevel="0" collapsed="false">
      <c r="A110" s="12"/>
      <c r="B110" s="12"/>
      <c r="C110" s="12"/>
      <c r="D110" s="13" t="n">
        <f aca="false">COUNTIFS(Runs!$B:$B,$A110,Runs!$H:$H,$B110,Runs!$C:$C,"ChatGPT",Runs!$D:$D,"v2")</f>
        <v>0</v>
      </c>
      <c r="E110" s="13" t="n">
        <f aca="false">COUNTIFS(Runs!$B:$B,$A110,Runs!$H:$H,$B110,Runs!$C:$C,"Gemini",Runs!$D:$D,"v2")</f>
        <v>0</v>
      </c>
      <c r="F110" s="13" t="n">
        <f aca="false">D110+E110</f>
        <v>0</v>
      </c>
      <c r="G110" s="13" t="str">
        <f aca="false">IF(AND(D110&gt;0,E110&gt;0),"yes","no")</f>
        <v>no</v>
      </c>
      <c r="H110" s="13" t="str">
        <f aca="false">IF($B110="","",IF(AND(D110&gt;=4,E110&gt;=4),"LOCKED",IF(AND(D110&gt;=2,E110&gt;=2),"CANDIDATE",IF(F110&lt;=2,"DISCARD","WEAK"))))</f>
        <v/>
      </c>
      <c r="I110" s="14" t="str">
        <f aca="false">IFERROR(ROUND(AVERAGEIFS(Runs!$K:$K,Runs!$B:$B,$A110,Runs!$H:$H,$B110,Runs!$D:$D,"v2"),0),"")</f>
        <v/>
      </c>
      <c r="J110" s="8"/>
      <c r="K110" s="15"/>
    </row>
    <row r="111" customFormat="false" ht="15" hidden="false" customHeight="true" outlineLevel="0" collapsed="false">
      <c r="A111" s="12"/>
      <c r="B111" s="12"/>
      <c r="C111" s="12"/>
      <c r="D111" s="13" t="n">
        <f aca="false">COUNTIFS(Runs!$B:$B,$A111,Runs!$H:$H,$B111,Runs!$C:$C,"ChatGPT",Runs!$D:$D,"v2")</f>
        <v>0</v>
      </c>
      <c r="E111" s="13" t="n">
        <f aca="false">COUNTIFS(Runs!$B:$B,$A111,Runs!$H:$H,$B111,Runs!$C:$C,"Gemini",Runs!$D:$D,"v2")</f>
        <v>0</v>
      </c>
      <c r="F111" s="13" t="n">
        <f aca="false">D111+E111</f>
        <v>0</v>
      </c>
      <c r="G111" s="13" t="str">
        <f aca="false">IF(AND(D111&gt;0,E111&gt;0),"yes","no")</f>
        <v>no</v>
      </c>
      <c r="H111" s="13" t="str">
        <f aca="false">IF($B111="","",IF(AND(D111&gt;=4,E111&gt;=4),"LOCKED",IF(AND(D111&gt;=2,E111&gt;=2),"CANDIDATE",IF(F111&lt;=2,"DISCARD","WEAK"))))</f>
        <v/>
      </c>
      <c r="I111" s="14" t="str">
        <f aca="false">IFERROR(ROUND(AVERAGEIFS(Runs!$K:$K,Runs!$B:$B,$A111,Runs!$H:$H,$B111,Runs!$D:$D,"v2"),0),"")</f>
        <v/>
      </c>
      <c r="J111" s="8"/>
      <c r="K111" s="15"/>
    </row>
    <row r="112" customFormat="false" ht="15" hidden="false" customHeight="true" outlineLevel="0" collapsed="false">
      <c r="A112" s="12"/>
      <c r="B112" s="12"/>
      <c r="C112" s="12"/>
      <c r="D112" s="13" t="n">
        <f aca="false">COUNTIFS(Runs!$B:$B,$A112,Runs!$H:$H,$B112,Runs!$C:$C,"ChatGPT",Runs!$D:$D,"v2")</f>
        <v>0</v>
      </c>
      <c r="E112" s="13" t="n">
        <f aca="false">COUNTIFS(Runs!$B:$B,$A112,Runs!$H:$H,$B112,Runs!$C:$C,"Gemini",Runs!$D:$D,"v2")</f>
        <v>0</v>
      </c>
      <c r="F112" s="13" t="n">
        <f aca="false">D112+E112</f>
        <v>0</v>
      </c>
      <c r="G112" s="13" t="str">
        <f aca="false">IF(AND(D112&gt;0,E112&gt;0),"yes","no")</f>
        <v>no</v>
      </c>
      <c r="H112" s="13" t="str">
        <f aca="false">IF($B112="","",IF(AND(D112&gt;=4,E112&gt;=4),"LOCKED",IF(AND(D112&gt;=2,E112&gt;=2),"CANDIDATE",IF(F112&lt;=2,"DISCARD","WEAK"))))</f>
        <v/>
      </c>
      <c r="I112" s="14" t="str">
        <f aca="false">IFERROR(ROUND(AVERAGEIFS(Runs!$K:$K,Runs!$B:$B,$A112,Runs!$H:$H,$B112,Runs!$D:$D,"v2"),0),"")</f>
        <v/>
      </c>
      <c r="J112" s="8"/>
      <c r="K112" s="15"/>
    </row>
    <row r="113" customFormat="false" ht="15" hidden="false" customHeight="true" outlineLevel="0" collapsed="false">
      <c r="A113" s="12"/>
      <c r="B113" s="12"/>
      <c r="C113" s="12"/>
      <c r="D113" s="13" t="n">
        <f aca="false">COUNTIFS(Runs!$B:$B,$A113,Runs!$H:$H,$B113,Runs!$C:$C,"ChatGPT",Runs!$D:$D,"v2")</f>
        <v>0</v>
      </c>
      <c r="E113" s="13" t="n">
        <f aca="false">COUNTIFS(Runs!$B:$B,$A113,Runs!$H:$H,$B113,Runs!$C:$C,"Gemini",Runs!$D:$D,"v2")</f>
        <v>0</v>
      </c>
      <c r="F113" s="13" t="n">
        <f aca="false">D113+E113</f>
        <v>0</v>
      </c>
      <c r="G113" s="13" t="str">
        <f aca="false">IF(AND(D113&gt;0,E113&gt;0),"yes","no")</f>
        <v>no</v>
      </c>
      <c r="H113" s="13" t="str">
        <f aca="false">IF($B113="","",IF(AND(D113&gt;=4,E113&gt;=4),"LOCKED",IF(AND(D113&gt;=2,E113&gt;=2),"CANDIDATE",IF(F113&lt;=2,"DISCARD","WEAK"))))</f>
        <v/>
      </c>
      <c r="I113" s="14" t="str">
        <f aca="false">IFERROR(ROUND(AVERAGEIFS(Runs!$K:$K,Runs!$B:$B,$A113,Runs!$H:$H,$B113,Runs!$D:$D,"v2"),0),"")</f>
        <v/>
      </c>
      <c r="J113" s="8"/>
      <c r="K113" s="15"/>
    </row>
    <row r="114" customFormat="false" ht="15" hidden="false" customHeight="true" outlineLevel="0" collapsed="false">
      <c r="A114" s="12"/>
      <c r="B114" s="12"/>
      <c r="C114" s="12"/>
      <c r="D114" s="13" t="n">
        <f aca="false">COUNTIFS(Runs!$B:$B,$A114,Runs!$H:$H,$B114,Runs!$C:$C,"ChatGPT",Runs!$D:$D,"v2")</f>
        <v>0</v>
      </c>
      <c r="E114" s="13" t="n">
        <f aca="false">COUNTIFS(Runs!$B:$B,$A114,Runs!$H:$H,$B114,Runs!$C:$C,"Gemini",Runs!$D:$D,"v2")</f>
        <v>0</v>
      </c>
      <c r="F114" s="13" t="n">
        <f aca="false">D114+E114</f>
        <v>0</v>
      </c>
      <c r="G114" s="13" t="str">
        <f aca="false">IF(AND(D114&gt;0,E114&gt;0),"yes","no")</f>
        <v>no</v>
      </c>
      <c r="H114" s="13" t="str">
        <f aca="false">IF($B114="","",IF(AND(D114&gt;=4,E114&gt;=4),"LOCKED",IF(AND(D114&gt;=2,E114&gt;=2),"CANDIDATE",IF(F114&lt;=2,"DISCARD","WEAK"))))</f>
        <v/>
      </c>
      <c r="I114" s="14" t="str">
        <f aca="false">IFERROR(ROUND(AVERAGEIFS(Runs!$K:$K,Runs!$B:$B,$A114,Runs!$H:$H,$B114,Runs!$D:$D,"v2"),0),"")</f>
        <v/>
      </c>
      <c r="J114" s="8"/>
      <c r="K114" s="15"/>
    </row>
    <row r="115" customFormat="false" ht="15" hidden="false" customHeight="true" outlineLevel="0" collapsed="false">
      <c r="A115" s="12"/>
      <c r="B115" s="12"/>
      <c r="C115" s="12"/>
      <c r="D115" s="13" t="n">
        <f aca="false">COUNTIFS(Runs!$B:$B,$A115,Runs!$H:$H,$B115,Runs!$C:$C,"ChatGPT",Runs!$D:$D,"v2")</f>
        <v>0</v>
      </c>
      <c r="E115" s="13" t="n">
        <f aca="false">COUNTIFS(Runs!$B:$B,$A115,Runs!$H:$H,$B115,Runs!$C:$C,"Gemini",Runs!$D:$D,"v2")</f>
        <v>0</v>
      </c>
      <c r="F115" s="13" t="n">
        <f aca="false">D115+E115</f>
        <v>0</v>
      </c>
      <c r="G115" s="13" t="str">
        <f aca="false">IF(AND(D115&gt;0,E115&gt;0),"yes","no")</f>
        <v>no</v>
      </c>
      <c r="H115" s="13" t="str">
        <f aca="false">IF($B115="","",IF(AND(D115&gt;=4,E115&gt;=4),"LOCKED",IF(AND(D115&gt;=2,E115&gt;=2),"CANDIDATE",IF(F115&lt;=2,"DISCARD","WEAK"))))</f>
        <v/>
      </c>
      <c r="I115" s="14" t="str">
        <f aca="false">IFERROR(ROUND(AVERAGEIFS(Runs!$K:$K,Runs!$B:$B,$A115,Runs!$H:$H,$B115,Runs!$D:$D,"v2"),0),"")</f>
        <v/>
      </c>
      <c r="J115" s="8"/>
      <c r="K115" s="15"/>
    </row>
    <row r="116" customFormat="false" ht="15" hidden="false" customHeight="true" outlineLevel="0" collapsed="false">
      <c r="A116" s="12"/>
      <c r="B116" s="12"/>
      <c r="C116" s="12"/>
      <c r="D116" s="13" t="n">
        <f aca="false">COUNTIFS(Runs!$B:$B,$A116,Runs!$H:$H,$B116,Runs!$C:$C,"ChatGPT",Runs!$D:$D,"v2")</f>
        <v>0</v>
      </c>
      <c r="E116" s="13" t="n">
        <f aca="false">COUNTIFS(Runs!$B:$B,$A116,Runs!$H:$H,$B116,Runs!$C:$C,"Gemini",Runs!$D:$D,"v2")</f>
        <v>0</v>
      </c>
      <c r="F116" s="13" t="n">
        <f aca="false">D116+E116</f>
        <v>0</v>
      </c>
      <c r="G116" s="13" t="str">
        <f aca="false">IF(AND(D116&gt;0,E116&gt;0),"yes","no")</f>
        <v>no</v>
      </c>
      <c r="H116" s="13" t="str">
        <f aca="false">IF($B116="","",IF(AND(D116&gt;=4,E116&gt;=4),"LOCKED",IF(AND(D116&gt;=2,E116&gt;=2),"CANDIDATE",IF(F116&lt;=2,"DISCARD","WEAK"))))</f>
        <v/>
      </c>
      <c r="I116" s="14" t="str">
        <f aca="false">IFERROR(ROUND(AVERAGEIFS(Runs!$K:$K,Runs!$B:$B,$A116,Runs!$H:$H,$B116,Runs!$D:$D,"v2"),0),"")</f>
        <v/>
      </c>
      <c r="J116" s="8"/>
      <c r="K116" s="15"/>
    </row>
    <row r="117" customFormat="false" ht="15" hidden="false" customHeight="true" outlineLevel="0" collapsed="false">
      <c r="A117" s="12"/>
      <c r="B117" s="12"/>
      <c r="C117" s="12"/>
      <c r="D117" s="13" t="n">
        <f aca="false">COUNTIFS(Runs!$B:$B,$A117,Runs!$H:$H,$B117,Runs!$C:$C,"ChatGPT",Runs!$D:$D,"v2")</f>
        <v>0</v>
      </c>
      <c r="E117" s="13" t="n">
        <f aca="false">COUNTIFS(Runs!$B:$B,$A117,Runs!$H:$H,$B117,Runs!$C:$C,"Gemini",Runs!$D:$D,"v2")</f>
        <v>0</v>
      </c>
      <c r="F117" s="13" t="n">
        <f aca="false">D117+E117</f>
        <v>0</v>
      </c>
      <c r="G117" s="13" t="str">
        <f aca="false">IF(AND(D117&gt;0,E117&gt;0),"yes","no")</f>
        <v>no</v>
      </c>
      <c r="H117" s="13" t="str">
        <f aca="false">IF($B117="","",IF(AND(D117&gt;=4,E117&gt;=4),"LOCKED",IF(AND(D117&gt;=2,E117&gt;=2),"CANDIDATE",IF(F117&lt;=2,"DISCARD","WEAK"))))</f>
        <v/>
      </c>
      <c r="I117" s="14" t="str">
        <f aca="false">IFERROR(ROUND(AVERAGEIFS(Runs!$K:$K,Runs!$B:$B,$A117,Runs!$H:$H,$B117,Runs!$D:$D,"v2"),0),"")</f>
        <v/>
      </c>
      <c r="J117" s="8"/>
      <c r="K117" s="15"/>
    </row>
    <row r="118" customFormat="false" ht="15" hidden="false" customHeight="true" outlineLevel="0" collapsed="false">
      <c r="A118" s="12"/>
      <c r="B118" s="12"/>
      <c r="C118" s="12"/>
      <c r="D118" s="13" t="n">
        <f aca="false">COUNTIFS(Runs!$B:$B,$A118,Runs!$H:$H,$B118,Runs!$C:$C,"ChatGPT",Runs!$D:$D,"v2")</f>
        <v>0</v>
      </c>
      <c r="E118" s="13" t="n">
        <f aca="false">COUNTIFS(Runs!$B:$B,$A118,Runs!$H:$H,$B118,Runs!$C:$C,"Gemini",Runs!$D:$D,"v2")</f>
        <v>0</v>
      </c>
      <c r="F118" s="13" t="n">
        <f aca="false">D118+E118</f>
        <v>0</v>
      </c>
      <c r="G118" s="13" t="str">
        <f aca="false">IF(AND(D118&gt;0,E118&gt;0),"yes","no")</f>
        <v>no</v>
      </c>
      <c r="H118" s="13" t="str">
        <f aca="false">IF($B118="","",IF(AND(D118&gt;=4,E118&gt;=4),"LOCKED",IF(AND(D118&gt;=2,E118&gt;=2),"CANDIDATE",IF(F118&lt;=2,"DISCARD","WEAK"))))</f>
        <v/>
      </c>
      <c r="I118" s="14" t="str">
        <f aca="false">IFERROR(ROUND(AVERAGEIFS(Runs!$K:$K,Runs!$B:$B,$A118,Runs!$H:$H,$B118,Runs!$D:$D,"v2"),0),"")</f>
        <v/>
      </c>
      <c r="J118" s="8"/>
      <c r="K118" s="15"/>
    </row>
    <row r="119" customFormat="false" ht="15" hidden="false" customHeight="true" outlineLevel="0" collapsed="false">
      <c r="A119" s="12"/>
      <c r="B119" s="12"/>
      <c r="C119" s="12"/>
      <c r="D119" s="13" t="n">
        <f aca="false">COUNTIFS(Runs!$B:$B,$A119,Runs!$H:$H,$B119,Runs!$C:$C,"ChatGPT",Runs!$D:$D,"v2")</f>
        <v>0</v>
      </c>
      <c r="E119" s="13" t="n">
        <f aca="false">COUNTIFS(Runs!$B:$B,$A119,Runs!$H:$H,$B119,Runs!$C:$C,"Gemini",Runs!$D:$D,"v2")</f>
        <v>0</v>
      </c>
      <c r="F119" s="13" t="n">
        <f aca="false">D119+E119</f>
        <v>0</v>
      </c>
      <c r="G119" s="13" t="str">
        <f aca="false">IF(AND(D119&gt;0,E119&gt;0),"yes","no")</f>
        <v>no</v>
      </c>
      <c r="H119" s="13" t="str">
        <f aca="false">IF($B119="","",IF(AND(D119&gt;=4,E119&gt;=4),"LOCKED",IF(AND(D119&gt;=2,E119&gt;=2),"CANDIDATE",IF(F119&lt;=2,"DISCARD","WEAK"))))</f>
        <v/>
      </c>
      <c r="I119" s="14" t="str">
        <f aca="false">IFERROR(ROUND(AVERAGEIFS(Runs!$K:$K,Runs!$B:$B,$A119,Runs!$H:$H,$B119,Runs!$D:$D,"v2"),0),"")</f>
        <v/>
      </c>
      <c r="J119" s="8"/>
      <c r="K119" s="15"/>
    </row>
    <row r="120" customFormat="false" ht="15" hidden="false" customHeight="true" outlineLevel="0" collapsed="false">
      <c r="A120" s="12"/>
      <c r="B120" s="12"/>
      <c r="C120" s="12"/>
      <c r="D120" s="13" t="n">
        <f aca="false">COUNTIFS(Runs!$B:$B,$A120,Runs!$H:$H,$B120,Runs!$C:$C,"ChatGPT",Runs!$D:$D,"v2")</f>
        <v>0</v>
      </c>
      <c r="E120" s="13" t="n">
        <f aca="false">COUNTIFS(Runs!$B:$B,$A120,Runs!$H:$H,$B120,Runs!$C:$C,"Gemini",Runs!$D:$D,"v2")</f>
        <v>0</v>
      </c>
      <c r="F120" s="13" t="n">
        <f aca="false">D120+E120</f>
        <v>0</v>
      </c>
      <c r="G120" s="13" t="str">
        <f aca="false">IF(AND(D120&gt;0,E120&gt;0),"yes","no")</f>
        <v>no</v>
      </c>
      <c r="H120" s="13" t="str">
        <f aca="false">IF($B120="","",IF(AND(D120&gt;=4,E120&gt;=4),"LOCKED",IF(AND(D120&gt;=2,E120&gt;=2),"CANDIDATE",IF(F120&lt;=2,"DISCARD","WEAK"))))</f>
        <v/>
      </c>
      <c r="I120" s="14" t="str">
        <f aca="false">IFERROR(ROUND(AVERAGEIFS(Runs!$K:$K,Runs!$B:$B,$A120,Runs!$H:$H,$B120,Runs!$D:$D,"v2"),0),"")</f>
        <v/>
      </c>
      <c r="J120" s="8"/>
      <c r="K120" s="15"/>
    </row>
    <row r="121" customFormat="false" ht="15" hidden="false" customHeight="true" outlineLevel="0" collapsed="false">
      <c r="A121" s="12"/>
      <c r="B121" s="12"/>
      <c r="C121" s="12"/>
      <c r="D121" s="13" t="n">
        <f aca="false">COUNTIFS(Runs!$B:$B,$A121,Runs!$H:$H,$B121,Runs!$C:$C,"ChatGPT",Runs!$D:$D,"v2")</f>
        <v>0</v>
      </c>
      <c r="E121" s="13" t="n">
        <f aca="false">COUNTIFS(Runs!$B:$B,$A121,Runs!$H:$H,$B121,Runs!$C:$C,"Gemini",Runs!$D:$D,"v2")</f>
        <v>0</v>
      </c>
      <c r="F121" s="13" t="n">
        <f aca="false">D121+E121</f>
        <v>0</v>
      </c>
      <c r="G121" s="13" t="str">
        <f aca="false">IF(AND(D121&gt;0,E121&gt;0),"yes","no")</f>
        <v>no</v>
      </c>
      <c r="H121" s="13" t="str">
        <f aca="false">IF($B121="","",IF(AND(D121&gt;=4,E121&gt;=4),"LOCKED",IF(AND(D121&gt;=2,E121&gt;=2),"CANDIDATE",IF(F121&lt;=2,"DISCARD","WEAK"))))</f>
        <v/>
      </c>
      <c r="I121" s="14" t="str">
        <f aca="false">IFERROR(ROUND(AVERAGEIFS(Runs!$K:$K,Runs!$B:$B,$A121,Runs!$H:$H,$B121,Runs!$D:$D,"v2"),0),"")</f>
        <v/>
      </c>
      <c r="J121" s="8"/>
      <c r="K121" s="15"/>
    </row>
    <row r="122" customFormat="false" ht="15" hidden="false" customHeight="true" outlineLevel="0" collapsed="false">
      <c r="A122" s="12"/>
      <c r="B122" s="12"/>
      <c r="C122" s="12"/>
      <c r="D122" s="13" t="n">
        <f aca="false">COUNTIFS(Runs!$B:$B,$A122,Runs!$H:$H,$B122,Runs!$C:$C,"ChatGPT",Runs!$D:$D,"v2")</f>
        <v>0</v>
      </c>
      <c r="E122" s="13" t="n">
        <f aca="false">COUNTIFS(Runs!$B:$B,$A122,Runs!$H:$H,$B122,Runs!$C:$C,"Gemini",Runs!$D:$D,"v2")</f>
        <v>0</v>
      </c>
      <c r="F122" s="13" t="n">
        <f aca="false">D122+E122</f>
        <v>0</v>
      </c>
      <c r="G122" s="13" t="str">
        <f aca="false">IF(AND(D122&gt;0,E122&gt;0),"yes","no")</f>
        <v>no</v>
      </c>
      <c r="H122" s="13" t="str">
        <f aca="false">IF($B122="","",IF(AND(D122&gt;=4,E122&gt;=4),"LOCKED",IF(AND(D122&gt;=2,E122&gt;=2),"CANDIDATE",IF(F122&lt;=2,"DISCARD","WEAK"))))</f>
        <v/>
      </c>
      <c r="I122" s="14" t="str">
        <f aca="false">IFERROR(ROUND(AVERAGEIFS(Runs!$K:$K,Runs!$B:$B,$A122,Runs!$H:$H,$B122,Runs!$D:$D,"v2"),0),"")</f>
        <v/>
      </c>
      <c r="J122" s="8"/>
      <c r="K122" s="15"/>
    </row>
    <row r="123" customFormat="false" ht="15" hidden="false" customHeight="true" outlineLevel="0" collapsed="false">
      <c r="A123" s="12"/>
      <c r="B123" s="12"/>
      <c r="C123" s="12"/>
      <c r="D123" s="13" t="n">
        <f aca="false">COUNTIFS(Runs!$B:$B,$A123,Runs!$H:$H,$B123,Runs!$C:$C,"ChatGPT",Runs!$D:$D,"v2")</f>
        <v>0</v>
      </c>
      <c r="E123" s="13" t="n">
        <f aca="false">COUNTIFS(Runs!$B:$B,$A123,Runs!$H:$H,$B123,Runs!$C:$C,"Gemini",Runs!$D:$D,"v2")</f>
        <v>0</v>
      </c>
      <c r="F123" s="13" t="n">
        <f aca="false">D123+E123</f>
        <v>0</v>
      </c>
      <c r="G123" s="13" t="str">
        <f aca="false">IF(AND(D123&gt;0,E123&gt;0),"yes","no")</f>
        <v>no</v>
      </c>
      <c r="H123" s="13" t="str">
        <f aca="false">IF($B123="","",IF(AND(D123&gt;=4,E123&gt;=4),"LOCKED",IF(AND(D123&gt;=2,E123&gt;=2),"CANDIDATE",IF(F123&lt;=2,"DISCARD","WEAK"))))</f>
        <v/>
      </c>
      <c r="I123" s="14" t="str">
        <f aca="false">IFERROR(ROUND(AVERAGEIFS(Runs!$K:$K,Runs!$B:$B,$A123,Runs!$H:$H,$B123,Runs!$D:$D,"v2"),0),"")</f>
        <v/>
      </c>
      <c r="J123" s="8"/>
      <c r="K123" s="15"/>
    </row>
    <row r="124" customFormat="false" ht="15" hidden="false" customHeight="true" outlineLevel="0" collapsed="false">
      <c r="A124" s="12"/>
      <c r="B124" s="12"/>
      <c r="C124" s="12"/>
      <c r="D124" s="13" t="n">
        <f aca="false">COUNTIFS(Runs!$B:$B,$A124,Runs!$H:$H,$B124,Runs!$C:$C,"ChatGPT",Runs!$D:$D,"v2")</f>
        <v>0</v>
      </c>
      <c r="E124" s="13" t="n">
        <f aca="false">COUNTIFS(Runs!$B:$B,$A124,Runs!$H:$H,$B124,Runs!$C:$C,"Gemini",Runs!$D:$D,"v2")</f>
        <v>0</v>
      </c>
      <c r="F124" s="13" t="n">
        <f aca="false">D124+E124</f>
        <v>0</v>
      </c>
      <c r="G124" s="13" t="str">
        <f aca="false">IF(AND(D124&gt;0,E124&gt;0),"yes","no")</f>
        <v>no</v>
      </c>
      <c r="H124" s="13" t="str">
        <f aca="false">IF($B124="","",IF(AND(D124&gt;=4,E124&gt;=4),"LOCKED",IF(AND(D124&gt;=2,E124&gt;=2),"CANDIDATE",IF(F124&lt;=2,"DISCARD","WEAK"))))</f>
        <v/>
      </c>
      <c r="I124" s="14" t="str">
        <f aca="false">IFERROR(ROUND(AVERAGEIFS(Runs!$K:$K,Runs!$B:$B,$A124,Runs!$H:$H,$B124,Runs!$D:$D,"v2"),0),"")</f>
        <v/>
      </c>
      <c r="J124" s="8"/>
      <c r="K124" s="15"/>
    </row>
    <row r="125" customFormat="false" ht="15" hidden="false" customHeight="true" outlineLevel="0" collapsed="false">
      <c r="A125" s="12"/>
      <c r="B125" s="12"/>
      <c r="C125" s="12"/>
      <c r="D125" s="13" t="n">
        <f aca="false">COUNTIFS(Runs!$B:$B,$A125,Runs!$H:$H,$B125,Runs!$C:$C,"ChatGPT",Runs!$D:$D,"v2")</f>
        <v>0</v>
      </c>
      <c r="E125" s="13" t="n">
        <f aca="false">COUNTIFS(Runs!$B:$B,$A125,Runs!$H:$H,$B125,Runs!$C:$C,"Gemini",Runs!$D:$D,"v2")</f>
        <v>0</v>
      </c>
      <c r="F125" s="13" t="n">
        <f aca="false">D125+E125</f>
        <v>0</v>
      </c>
      <c r="G125" s="13" t="str">
        <f aca="false">IF(AND(D125&gt;0,E125&gt;0),"yes","no")</f>
        <v>no</v>
      </c>
      <c r="H125" s="13" t="str">
        <f aca="false">IF($B125="","",IF(AND(D125&gt;=4,E125&gt;=4),"LOCKED",IF(AND(D125&gt;=2,E125&gt;=2),"CANDIDATE",IF(F125&lt;=2,"DISCARD","WEAK"))))</f>
        <v/>
      </c>
      <c r="I125" s="14" t="str">
        <f aca="false">IFERROR(ROUND(AVERAGEIFS(Runs!$K:$K,Runs!$B:$B,$A125,Runs!$H:$H,$B125,Runs!$D:$D,"v2"),0),"")</f>
        <v/>
      </c>
      <c r="J125" s="8"/>
      <c r="K125" s="15"/>
    </row>
    <row r="126" customFormat="false" ht="15" hidden="false" customHeight="true" outlineLevel="0" collapsed="false">
      <c r="A126" s="12"/>
      <c r="B126" s="12"/>
      <c r="C126" s="12"/>
      <c r="D126" s="13" t="n">
        <f aca="false">COUNTIFS(Runs!$B:$B,$A126,Runs!$H:$H,$B126,Runs!$C:$C,"ChatGPT",Runs!$D:$D,"v2")</f>
        <v>0</v>
      </c>
      <c r="E126" s="13" t="n">
        <f aca="false">COUNTIFS(Runs!$B:$B,$A126,Runs!$H:$H,$B126,Runs!$C:$C,"Gemini",Runs!$D:$D,"v2")</f>
        <v>0</v>
      </c>
      <c r="F126" s="13" t="n">
        <f aca="false">D126+E126</f>
        <v>0</v>
      </c>
      <c r="G126" s="13" t="str">
        <f aca="false">IF(AND(D126&gt;0,E126&gt;0),"yes","no")</f>
        <v>no</v>
      </c>
      <c r="H126" s="13" t="str">
        <f aca="false">IF($B126="","",IF(AND(D126&gt;=4,E126&gt;=4),"LOCKED",IF(AND(D126&gt;=2,E126&gt;=2),"CANDIDATE",IF(F126&lt;=2,"DISCARD","WEAK"))))</f>
        <v/>
      </c>
      <c r="I126" s="14" t="str">
        <f aca="false">IFERROR(ROUND(AVERAGEIFS(Runs!$K:$K,Runs!$B:$B,$A126,Runs!$H:$H,$B126,Runs!$D:$D,"v2"),0),"")</f>
        <v/>
      </c>
      <c r="J126" s="8"/>
      <c r="K126" s="15"/>
    </row>
    <row r="127" customFormat="false" ht="15" hidden="false" customHeight="true" outlineLevel="0" collapsed="false">
      <c r="A127" s="12"/>
      <c r="B127" s="12"/>
      <c r="C127" s="12"/>
      <c r="D127" s="13" t="n">
        <f aca="false">COUNTIFS(Runs!$B:$B,$A127,Runs!$H:$H,$B127,Runs!$C:$C,"ChatGPT",Runs!$D:$D,"v2")</f>
        <v>0</v>
      </c>
      <c r="E127" s="13" t="n">
        <f aca="false">COUNTIFS(Runs!$B:$B,$A127,Runs!$H:$H,$B127,Runs!$C:$C,"Gemini",Runs!$D:$D,"v2")</f>
        <v>0</v>
      </c>
      <c r="F127" s="13" t="n">
        <f aca="false">D127+E127</f>
        <v>0</v>
      </c>
      <c r="G127" s="13" t="str">
        <f aca="false">IF(AND(D127&gt;0,E127&gt;0),"yes","no")</f>
        <v>no</v>
      </c>
      <c r="H127" s="13" t="str">
        <f aca="false">IF($B127="","",IF(AND(D127&gt;=4,E127&gt;=4),"LOCKED",IF(AND(D127&gt;=2,E127&gt;=2),"CANDIDATE",IF(F127&lt;=2,"DISCARD","WEAK"))))</f>
        <v/>
      </c>
      <c r="I127" s="14" t="str">
        <f aca="false">IFERROR(ROUND(AVERAGEIFS(Runs!$K:$K,Runs!$B:$B,$A127,Runs!$H:$H,$B127,Runs!$D:$D,"v2"),0),"")</f>
        <v/>
      </c>
      <c r="J127" s="8"/>
      <c r="K127" s="15"/>
    </row>
    <row r="128" customFormat="false" ht="15" hidden="false" customHeight="true" outlineLevel="0" collapsed="false">
      <c r="A128" s="12"/>
      <c r="B128" s="12"/>
      <c r="C128" s="12"/>
      <c r="D128" s="13" t="n">
        <f aca="false">COUNTIFS(Runs!$B:$B,$A128,Runs!$H:$H,$B128,Runs!$C:$C,"ChatGPT",Runs!$D:$D,"v2")</f>
        <v>0</v>
      </c>
      <c r="E128" s="13" t="n">
        <f aca="false">COUNTIFS(Runs!$B:$B,$A128,Runs!$H:$H,$B128,Runs!$C:$C,"Gemini",Runs!$D:$D,"v2")</f>
        <v>0</v>
      </c>
      <c r="F128" s="13" t="n">
        <f aca="false">D128+E128</f>
        <v>0</v>
      </c>
      <c r="G128" s="13" t="str">
        <f aca="false">IF(AND(D128&gt;0,E128&gt;0),"yes","no")</f>
        <v>no</v>
      </c>
      <c r="H128" s="13" t="str">
        <f aca="false">IF($B128="","",IF(AND(D128&gt;=4,E128&gt;=4),"LOCKED",IF(AND(D128&gt;=2,E128&gt;=2),"CANDIDATE",IF(F128&lt;=2,"DISCARD","WEAK"))))</f>
        <v/>
      </c>
      <c r="I128" s="14" t="str">
        <f aca="false">IFERROR(ROUND(AVERAGEIFS(Runs!$K:$K,Runs!$B:$B,$A128,Runs!$H:$H,$B128,Runs!$D:$D,"v2"),0),"")</f>
        <v/>
      </c>
      <c r="J128" s="8"/>
      <c r="K128" s="15"/>
    </row>
    <row r="129" customFormat="false" ht="15" hidden="false" customHeight="true" outlineLevel="0" collapsed="false">
      <c r="A129" s="12"/>
      <c r="B129" s="12"/>
      <c r="C129" s="12"/>
      <c r="D129" s="13" t="n">
        <f aca="false">COUNTIFS(Runs!$B:$B,$A129,Runs!$H:$H,$B129,Runs!$C:$C,"ChatGPT",Runs!$D:$D,"v2")</f>
        <v>0</v>
      </c>
      <c r="E129" s="13" t="n">
        <f aca="false">COUNTIFS(Runs!$B:$B,$A129,Runs!$H:$H,$B129,Runs!$C:$C,"Gemini",Runs!$D:$D,"v2")</f>
        <v>0</v>
      </c>
      <c r="F129" s="13" t="n">
        <f aca="false">D129+E129</f>
        <v>0</v>
      </c>
      <c r="G129" s="13" t="str">
        <f aca="false">IF(AND(D129&gt;0,E129&gt;0),"yes","no")</f>
        <v>no</v>
      </c>
      <c r="H129" s="13" t="str">
        <f aca="false">IF($B129="","",IF(AND(D129&gt;=4,E129&gt;=4),"LOCKED",IF(AND(D129&gt;=2,E129&gt;=2),"CANDIDATE",IF(F129&lt;=2,"DISCARD","WEAK"))))</f>
        <v/>
      </c>
      <c r="I129" s="14" t="str">
        <f aca="false">IFERROR(ROUND(AVERAGEIFS(Runs!$K:$K,Runs!$B:$B,$A129,Runs!$H:$H,$B129,Runs!$D:$D,"v2"),0),"")</f>
        <v/>
      </c>
      <c r="J129" s="8"/>
      <c r="K129" s="15"/>
    </row>
    <row r="130" customFormat="false" ht="15" hidden="false" customHeight="true" outlineLevel="0" collapsed="false">
      <c r="A130" s="12"/>
      <c r="B130" s="12"/>
      <c r="C130" s="12"/>
      <c r="D130" s="13" t="n">
        <f aca="false">COUNTIFS(Runs!$B:$B,$A130,Runs!$H:$H,$B130,Runs!$C:$C,"ChatGPT",Runs!$D:$D,"v2")</f>
        <v>0</v>
      </c>
      <c r="E130" s="13" t="n">
        <f aca="false">COUNTIFS(Runs!$B:$B,$A130,Runs!$H:$H,$B130,Runs!$C:$C,"Gemini",Runs!$D:$D,"v2")</f>
        <v>0</v>
      </c>
      <c r="F130" s="13" t="n">
        <f aca="false">D130+E130</f>
        <v>0</v>
      </c>
      <c r="G130" s="13" t="str">
        <f aca="false">IF(AND(D130&gt;0,E130&gt;0),"yes","no")</f>
        <v>no</v>
      </c>
      <c r="H130" s="13" t="str">
        <f aca="false">IF($B130="","",IF(AND(D130&gt;=4,E130&gt;=4),"LOCKED",IF(AND(D130&gt;=2,E130&gt;=2),"CANDIDATE",IF(F130&lt;=2,"DISCARD","WEAK"))))</f>
        <v/>
      </c>
      <c r="I130" s="14" t="str">
        <f aca="false">IFERROR(ROUND(AVERAGEIFS(Runs!$K:$K,Runs!$B:$B,$A130,Runs!$H:$H,$B130,Runs!$D:$D,"v2"),0),"")</f>
        <v/>
      </c>
      <c r="J130" s="8"/>
      <c r="K130" s="15"/>
    </row>
    <row r="131" customFormat="false" ht="15" hidden="false" customHeight="true" outlineLevel="0" collapsed="false">
      <c r="A131" s="12"/>
      <c r="B131" s="12"/>
      <c r="C131" s="12"/>
      <c r="D131" s="13" t="n">
        <f aca="false">COUNTIFS(Runs!$B:$B,$A131,Runs!$H:$H,$B131,Runs!$C:$C,"ChatGPT",Runs!$D:$D,"v2")</f>
        <v>0</v>
      </c>
      <c r="E131" s="13" t="n">
        <f aca="false">COUNTIFS(Runs!$B:$B,$A131,Runs!$H:$H,$B131,Runs!$C:$C,"Gemini",Runs!$D:$D,"v2")</f>
        <v>0</v>
      </c>
      <c r="F131" s="13" t="n">
        <f aca="false">D131+E131</f>
        <v>0</v>
      </c>
      <c r="G131" s="13" t="str">
        <f aca="false">IF(AND(D131&gt;0,E131&gt;0),"yes","no")</f>
        <v>no</v>
      </c>
      <c r="H131" s="13" t="str">
        <f aca="false">IF($B131="","",IF(AND(D131&gt;=4,E131&gt;=4),"LOCKED",IF(AND(D131&gt;=2,E131&gt;=2),"CANDIDATE",IF(F131&lt;=2,"DISCARD","WEAK"))))</f>
        <v/>
      </c>
      <c r="I131" s="14" t="str">
        <f aca="false">IFERROR(ROUND(AVERAGEIFS(Runs!$K:$K,Runs!$B:$B,$A131,Runs!$H:$H,$B131,Runs!$D:$D,"v2"),0),"")</f>
        <v/>
      </c>
      <c r="J131" s="8"/>
      <c r="K131" s="15"/>
    </row>
    <row r="132" customFormat="false" ht="15" hidden="false" customHeight="true" outlineLevel="0" collapsed="false">
      <c r="A132" s="12"/>
      <c r="B132" s="12"/>
      <c r="C132" s="12"/>
      <c r="D132" s="13" t="n">
        <f aca="false">COUNTIFS(Runs!$B:$B,$A132,Runs!$H:$H,$B132,Runs!$C:$C,"ChatGPT",Runs!$D:$D,"v2")</f>
        <v>0</v>
      </c>
      <c r="E132" s="13" t="n">
        <f aca="false">COUNTIFS(Runs!$B:$B,$A132,Runs!$H:$H,$B132,Runs!$C:$C,"Gemini",Runs!$D:$D,"v2")</f>
        <v>0</v>
      </c>
      <c r="F132" s="13" t="n">
        <f aca="false">D132+E132</f>
        <v>0</v>
      </c>
      <c r="G132" s="13" t="str">
        <f aca="false">IF(AND(D132&gt;0,E132&gt;0),"yes","no")</f>
        <v>no</v>
      </c>
      <c r="H132" s="13" t="str">
        <f aca="false">IF($B132="","",IF(AND(D132&gt;=4,E132&gt;=4),"LOCKED",IF(AND(D132&gt;=2,E132&gt;=2),"CANDIDATE",IF(F132&lt;=2,"DISCARD","WEAK"))))</f>
        <v/>
      </c>
      <c r="I132" s="14" t="str">
        <f aca="false">IFERROR(ROUND(AVERAGEIFS(Runs!$K:$K,Runs!$B:$B,$A132,Runs!$H:$H,$B132,Runs!$D:$D,"v2"),0),"")</f>
        <v/>
      </c>
      <c r="J132" s="8"/>
      <c r="K132" s="15"/>
    </row>
    <row r="133" customFormat="false" ht="15" hidden="false" customHeight="true" outlineLevel="0" collapsed="false">
      <c r="A133" s="12"/>
      <c r="B133" s="12"/>
      <c r="C133" s="12"/>
      <c r="D133" s="13" t="n">
        <f aca="false">COUNTIFS(Runs!$B:$B,$A133,Runs!$H:$H,$B133,Runs!$C:$C,"ChatGPT",Runs!$D:$D,"v2")</f>
        <v>0</v>
      </c>
      <c r="E133" s="13" t="n">
        <f aca="false">COUNTIFS(Runs!$B:$B,$A133,Runs!$H:$H,$B133,Runs!$C:$C,"Gemini",Runs!$D:$D,"v2")</f>
        <v>0</v>
      </c>
      <c r="F133" s="13" t="n">
        <f aca="false">D133+E133</f>
        <v>0</v>
      </c>
      <c r="G133" s="13" t="str">
        <f aca="false">IF(AND(D133&gt;0,E133&gt;0),"yes","no")</f>
        <v>no</v>
      </c>
      <c r="H133" s="13" t="str">
        <f aca="false">IF($B133="","",IF(AND(D133&gt;=4,E133&gt;=4),"LOCKED",IF(AND(D133&gt;=2,E133&gt;=2),"CANDIDATE",IF(F133&lt;=2,"DISCARD","WEAK"))))</f>
        <v/>
      </c>
      <c r="I133" s="14" t="str">
        <f aca="false">IFERROR(ROUND(AVERAGEIFS(Runs!$K:$K,Runs!$B:$B,$A133,Runs!$H:$H,$B133,Runs!$D:$D,"v2"),0),"")</f>
        <v/>
      </c>
      <c r="J133" s="8"/>
      <c r="K133" s="15"/>
    </row>
    <row r="134" customFormat="false" ht="15" hidden="false" customHeight="true" outlineLevel="0" collapsed="false">
      <c r="A134" s="12"/>
      <c r="B134" s="12"/>
      <c r="C134" s="12"/>
      <c r="D134" s="13" t="n">
        <f aca="false">COUNTIFS(Runs!$B:$B,$A134,Runs!$H:$H,$B134,Runs!$C:$C,"ChatGPT",Runs!$D:$D,"v2")</f>
        <v>0</v>
      </c>
      <c r="E134" s="13" t="n">
        <f aca="false">COUNTIFS(Runs!$B:$B,$A134,Runs!$H:$H,$B134,Runs!$C:$C,"Gemini",Runs!$D:$D,"v2")</f>
        <v>0</v>
      </c>
      <c r="F134" s="13" t="n">
        <f aca="false">D134+E134</f>
        <v>0</v>
      </c>
      <c r="G134" s="13" t="str">
        <f aca="false">IF(AND(D134&gt;0,E134&gt;0),"yes","no")</f>
        <v>no</v>
      </c>
      <c r="H134" s="13" t="str">
        <f aca="false">IF($B134="","",IF(AND(D134&gt;=4,E134&gt;=4),"LOCKED",IF(AND(D134&gt;=2,E134&gt;=2),"CANDIDATE",IF(F134&lt;=2,"DISCARD","WEAK"))))</f>
        <v/>
      </c>
      <c r="I134" s="14" t="str">
        <f aca="false">IFERROR(ROUND(AVERAGEIFS(Runs!$K:$K,Runs!$B:$B,$A134,Runs!$H:$H,$B134,Runs!$D:$D,"v2"),0),"")</f>
        <v/>
      </c>
      <c r="J134" s="8"/>
      <c r="K134" s="15"/>
    </row>
    <row r="135" customFormat="false" ht="15" hidden="false" customHeight="true" outlineLevel="0" collapsed="false">
      <c r="A135" s="12"/>
      <c r="B135" s="12"/>
      <c r="C135" s="12"/>
      <c r="D135" s="13" t="n">
        <f aca="false">COUNTIFS(Runs!$B:$B,$A135,Runs!$H:$H,$B135,Runs!$C:$C,"ChatGPT",Runs!$D:$D,"v2")</f>
        <v>0</v>
      </c>
      <c r="E135" s="13" t="n">
        <f aca="false">COUNTIFS(Runs!$B:$B,$A135,Runs!$H:$H,$B135,Runs!$C:$C,"Gemini",Runs!$D:$D,"v2")</f>
        <v>0</v>
      </c>
      <c r="F135" s="13" t="n">
        <f aca="false">D135+E135</f>
        <v>0</v>
      </c>
      <c r="G135" s="13" t="str">
        <f aca="false">IF(AND(D135&gt;0,E135&gt;0),"yes","no")</f>
        <v>no</v>
      </c>
      <c r="H135" s="13" t="str">
        <f aca="false">IF($B135="","",IF(AND(D135&gt;=4,E135&gt;=4),"LOCKED",IF(AND(D135&gt;=2,E135&gt;=2),"CANDIDATE",IF(F135&lt;=2,"DISCARD","WEAK"))))</f>
        <v/>
      </c>
      <c r="I135" s="14" t="str">
        <f aca="false">IFERROR(ROUND(AVERAGEIFS(Runs!$K:$K,Runs!$B:$B,$A135,Runs!$H:$H,$B135,Runs!$D:$D,"v2"),0),"")</f>
        <v/>
      </c>
      <c r="J135" s="8"/>
      <c r="K135" s="15"/>
    </row>
    <row r="136" customFormat="false" ht="15" hidden="false" customHeight="true" outlineLevel="0" collapsed="false">
      <c r="A136" s="12"/>
      <c r="B136" s="12"/>
      <c r="C136" s="12"/>
      <c r="D136" s="13" t="n">
        <f aca="false">COUNTIFS(Runs!$B:$B,$A136,Runs!$H:$H,$B136,Runs!$C:$C,"ChatGPT",Runs!$D:$D,"v2")</f>
        <v>0</v>
      </c>
      <c r="E136" s="13" t="n">
        <f aca="false">COUNTIFS(Runs!$B:$B,$A136,Runs!$H:$H,$B136,Runs!$C:$C,"Gemini",Runs!$D:$D,"v2")</f>
        <v>0</v>
      </c>
      <c r="F136" s="13" t="n">
        <f aca="false">D136+E136</f>
        <v>0</v>
      </c>
      <c r="G136" s="13" t="str">
        <f aca="false">IF(AND(D136&gt;0,E136&gt;0),"yes","no")</f>
        <v>no</v>
      </c>
      <c r="H136" s="13" t="str">
        <f aca="false">IF($B136="","",IF(AND(D136&gt;=4,E136&gt;=4),"LOCKED",IF(AND(D136&gt;=2,E136&gt;=2),"CANDIDATE",IF(F136&lt;=2,"DISCARD","WEAK"))))</f>
        <v/>
      </c>
      <c r="I136" s="14" t="str">
        <f aca="false">IFERROR(ROUND(AVERAGEIFS(Runs!$K:$K,Runs!$B:$B,$A136,Runs!$H:$H,$B136,Runs!$D:$D,"v2"),0),"")</f>
        <v/>
      </c>
      <c r="J136" s="8"/>
      <c r="K136" s="15"/>
    </row>
    <row r="137" customFormat="false" ht="15" hidden="false" customHeight="true" outlineLevel="0" collapsed="false">
      <c r="A137" s="12"/>
      <c r="B137" s="12"/>
      <c r="C137" s="12"/>
      <c r="D137" s="13" t="n">
        <f aca="false">COUNTIFS(Runs!$B:$B,$A137,Runs!$H:$H,$B137,Runs!$C:$C,"ChatGPT",Runs!$D:$D,"v2")</f>
        <v>0</v>
      </c>
      <c r="E137" s="13" t="n">
        <f aca="false">COUNTIFS(Runs!$B:$B,$A137,Runs!$H:$H,$B137,Runs!$C:$C,"Gemini",Runs!$D:$D,"v2")</f>
        <v>0</v>
      </c>
      <c r="F137" s="13" t="n">
        <f aca="false">D137+E137</f>
        <v>0</v>
      </c>
      <c r="G137" s="13" t="str">
        <f aca="false">IF(AND(D137&gt;0,E137&gt;0),"yes","no")</f>
        <v>no</v>
      </c>
      <c r="H137" s="13" t="str">
        <f aca="false">IF($B137="","",IF(AND(D137&gt;=4,E137&gt;=4),"LOCKED",IF(AND(D137&gt;=2,E137&gt;=2),"CANDIDATE",IF(F137&lt;=2,"DISCARD","WEAK"))))</f>
        <v/>
      </c>
      <c r="I137" s="14" t="str">
        <f aca="false">IFERROR(ROUND(AVERAGEIFS(Runs!$K:$K,Runs!$B:$B,$A137,Runs!$H:$H,$B137,Runs!$D:$D,"v2"),0),"")</f>
        <v/>
      </c>
      <c r="J137" s="8"/>
      <c r="K137" s="15"/>
    </row>
    <row r="138" customFormat="false" ht="15" hidden="false" customHeight="true" outlineLevel="0" collapsed="false">
      <c r="A138" s="12"/>
      <c r="B138" s="12"/>
      <c r="C138" s="12"/>
      <c r="D138" s="13" t="n">
        <f aca="false">COUNTIFS(Runs!$B:$B,$A138,Runs!$H:$H,$B138,Runs!$C:$C,"ChatGPT",Runs!$D:$D,"v2")</f>
        <v>0</v>
      </c>
      <c r="E138" s="13" t="n">
        <f aca="false">COUNTIFS(Runs!$B:$B,$A138,Runs!$H:$H,$B138,Runs!$C:$C,"Gemini",Runs!$D:$D,"v2")</f>
        <v>0</v>
      </c>
      <c r="F138" s="13" t="n">
        <f aca="false">D138+E138</f>
        <v>0</v>
      </c>
      <c r="G138" s="13" t="str">
        <f aca="false">IF(AND(D138&gt;0,E138&gt;0),"yes","no")</f>
        <v>no</v>
      </c>
      <c r="H138" s="13" t="str">
        <f aca="false">IF($B138="","",IF(AND(D138&gt;=4,E138&gt;=4),"LOCKED",IF(AND(D138&gt;=2,E138&gt;=2),"CANDIDATE",IF(F138&lt;=2,"DISCARD","WEAK"))))</f>
        <v/>
      </c>
      <c r="I138" s="14" t="str">
        <f aca="false">IFERROR(ROUND(AVERAGEIFS(Runs!$K:$K,Runs!$B:$B,$A138,Runs!$H:$H,$B138,Runs!$D:$D,"v2"),0),"")</f>
        <v/>
      </c>
      <c r="J138" s="8"/>
      <c r="K138" s="15"/>
    </row>
    <row r="139" customFormat="false" ht="15" hidden="false" customHeight="true" outlineLevel="0" collapsed="false">
      <c r="A139" s="12"/>
      <c r="B139" s="12"/>
      <c r="C139" s="12"/>
      <c r="D139" s="13" t="n">
        <f aca="false">COUNTIFS(Runs!$B:$B,$A139,Runs!$H:$H,$B139,Runs!$C:$C,"ChatGPT",Runs!$D:$D,"v2")</f>
        <v>0</v>
      </c>
      <c r="E139" s="13" t="n">
        <f aca="false">COUNTIFS(Runs!$B:$B,$A139,Runs!$H:$H,$B139,Runs!$C:$C,"Gemini",Runs!$D:$D,"v2")</f>
        <v>0</v>
      </c>
      <c r="F139" s="13" t="n">
        <f aca="false">D139+E139</f>
        <v>0</v>
      </c>
      <c r="G139" s="13" t="str">
        <f aca="false">IF(AND(D139&gt;0,E139&gt;0),"yes","no")</f>
        <v>no</v>
      </c>
      <c r="H139" s="13" t="str">
        <f aca="false">IF($B139="","",IF(AND(D139&gt;=4,E139&gt;=4),"LOCKED",IF(AND(D139&gt;=2,E139&gt;=2),"CANDIDATE",IF(F139&lt;=2,"DISCARD","WEAK"))))</f>
        <v/>
      </c>
      <c r="I139" s="14" t="str">
        <f aca="false">IFERROR(ROUND(AVERAGEIFS(Runs!$K:$K,Runs!$B:$B,$A139,Runs!$H:$H,$B139,Runs!$D:$D,"v2"),0),"")</f>
        <v/>
      </c>
      <c r="J139" s="8"/>
      <c r="K139" s="15"/>
    </row>
    <row r="140" customFormat="false" ht="15" hidden="false" customHeight="true" outlineLevel="0" collapsed="false">
      <c r="A140" s="12"/>
      <c r="B140" s="12"/>
      <c r="C140" s="12"/>
      <c r="D140" s="13" t="n">
        <f aca="false">COUNTIFS(Runs!$B:$B,$A140,Runs!$H:$H,$B140,Runs!$C:$C,"ChatGPT",Runs!$D:$D,"v2")</f>
        <v>0</v>
      </c>
      <c r="E140" s="13" t="n">
        <f aca="false">COUNTIFS(Runs!$B:$B,$A140,Runs!$H:$H,$B140,Runs!$C:$C,"Gemini",Runs!$D:$D,"v2")</f>
        <v>0</v>
      </c>
      <c r="F140" s="13" t="n">
        <f aca="false">D140+E140</f>
        <v>0</v>
      </c>
      <c r="G140" s="13" t="str">
        <f aca="false">IF(AND(D140&gt;0,E140&gt;0),"yes","no")</f>
        <v>no</v>
      </c>
      <c r="H140" s="13" t="str">
        <f aca="false">IF($B140="","",IF(AND(D140&gt;=4,E140&gt;=4),"LOCKED",IF(AND(D140&gt;=2,E140&gt;=2),"CANDIDATE",IF(F140&lt;=2,"DISCARD","WEAK"))))</f>
        <v/>
      </c>
      <c r="I140" s="14" t="str">
        <f aca="false">IFERROR(ROUND(AVERAGEIFS(Runs!$K:$K,Runs!$B:$B,$A140,Runs!$H:$H,$B140,Runs!$D:$D,"v2"),0),"")</f>
        <v/>
      </c>
      <c r="J140" s="8"/>
      <c r="K140" s="15"/>
    </row>
    <row r="141" customFormat="false" ht="15" hidden="false" customHeight="true" outlineLevel="0" collapsed="false">
      <c r="A141" s="12"/>
      <c r="B141" s="12"/>
      <c r="C141" s="12"/>
      <c r="D141" s="13" t="n">
        <f aca="false">COUNTIFS(Runs!$B:$B,$A141,Runs!$H:$H,$B141,Runs!$C:$C,"ChatGPT",Runs!$D:$D,"v2")</f>
        <v>0</v>
      </c>
      <c r="E141" s="13" t="n">
        <f aca="false">COUNTIFS(Runs!$B:$B,$A141,Runs!$H:$H,$B141,Runs!$C:$C,"Gemini",Runs!$D:$D,"v2")</f>
        <v>0</v>
      </c>
      <c r="F141" s="13" t="n">
        <f aca="false">D141+E141</f>
        <v>0</v>
      </c>
      <c r="G141" s="13" t="str">
        <f aca="false">IF(AND(D141&gt;0,E141&gt;0),"yes","no")</f>
        <v>no</v>
      </c>
      <c r="H141" s="13" t="str">
        <f aca="false">IF($B141="","",IF(AND(D141&gt;=4,E141&gt;=4),"LOCKED",IF(AND(D141&gt;=2,E141&gt;=2),"CANDIDATE",IF(F141&lt;=2,"DISCARD","WEAK"))))</f>
        <v/>
      </c>
      <c r="I141" s="14" t="str">
        <f aca="false">IFERROR(ROUND(AVERAGEIFS(Runs!$K:$K,Runs!$B:$B,$A141,Runs!$H:$H,$B141,Runs!$D:$D,"v2"),0),"")</f>
        <v/>
      </c>
      <c r="J141" s="8"/>
      <c r="K141" s="15"/>
    </row>
    <row r="142" customFormat="false" ht="15" hidden="false" customHeight="true" outlineLevel="0" collapsed="false">
      <c r="A142" s="12"/>
      <c r="B142" s="12"/>
      <c r="C142" s="12"/>
      <c r="D142" s="13" t="n">
        <f aca="false">COUNTIFS(Runs!$B:$B,$A142,Runs!$H:$H,$B142,Runs!$C:$C,"ChatGPT",Runs!$D:$D,"v2")</f>
        <v>0</v>
      </c>
      <c r="E142" s="13" t="n">
        <f aca="false">COUNTIFS(Runs!$B:$B,$A142,Runs!$H:$H,$B142,Runs!$C:$C,"Gemini",Runs!$D:$D,"v2")</f>
        <v>0</v>
      </c>
      <c r="F142" s="13" t="n">
        <f aca="false">D142+E142</f>
        <v>0</v>
      </c>
      <c r="G142" s="13" t="str">
        <f aca="false">IF(AND(D142&gt;0,E142&gt;0),"yes","no")</f>
        <v>no</v>
      </c>
      <c r="H142" s="13" t="str">
        <f aca="false">IF($B142="","",IF(AND(D142&gt;=4,E142&gt;=4),"LOCKED",IF(AND(D142&gt;=2,E142&gt;=2),"CANDIDATE",IF(F142&lt;=2,"DISCARD","WEAK"))))</f>
        <v/>
      </c>
      <c r="I142" s="14" t="str">
        <f aca="false">IFERROR(ROUND(AVERAGEIFS(Runs!$K:$K,Runs!$B:$B,$A142,Runs!$H:$H,$B142,Runs!$D:$D,"v2"),0),"")</f>
        <v/>
      </c>
      <c r="J142" s="8"/>
      <c r="K142" s="15"/>
    </row>
    <row r="143" customFormat="false" ht="15" hidden="false" customHeight="true" outlineLevel="0" collapsed="false">
      <c r="A143" s="12"/>
      <c r="B143" s="12"/>
      <c r="C143" s="12"/>
      <c r="D143" s="13" t="n">
        <f aca="false">COUNTIFS(Runs!$B:$B,$A143,Runs!$H:$H,$B143,Runs!$C:$C,"ChatGPT",Runs!$D:$D,"v2")</f>
        <v>0</v>
      </c>
      <c r="E143" s="13" t="n">
        <f aca="false">COUNTIFS(Runs!$B:$B,$A143,Runs!$H:$H,$B143,Runs!$C:$C,"Gemini",Runs!$D:$D,"v2")</f>
        <v>0</v>
      </c>
      <c r="F143" s="13" t="n">
        <f aca="false">D143+E143</f>
        <v>0</v>
      </c>
      <c r="G143" s="13" t="str">
        <f aca="false">IF(AND(D143&gt;0,E143&gt;0),"yes","no")</f>
        <v>no</v>
      </c>
      <c r="H143" s="13" t="str">
        <f aca="false">IF($B143="","",IF(AND(D143&gt;=4,E143&gt;=4),"LOCKED",IF(AND(D143&gt;=2,E143&gt;=2),"CANDIDATE",IF(F143&lt;=2,"DISCARD","WEAK"))))</f>
        <v/>
      </c>
      <c r="I143" s="14" t="str">
        <f aca="false">IFERROR(ROUND(AVERAGEIFS(Runs!$K:$K,Runs!$B:$B,$A143,Runs!$H:$H,$B143,Runs!$D:$D,"v2"),0),"")</f>
        <v/>
      </c>
      <c r="J143" s="8"/>
      <c r="K143" s="15"/>
    </row>
    <row r="144" customFormat="false" ht="15" hidden="false" customHeight="true" outlineLevel="0" collapsed="false">
      <c r="A144" s="12"/>
      <c r="B144" s="12"/>
      <c r="C144" s="12"/>
      <c r="D144" s="13" t="n">
        <f aca="false">COUNTIFS(Runs!$B:$B,$A144,Runs!$H:$H,$B144,Runs!$C:$C,"ChatGPT",Runs!$D:$D,"v2")</f>
        <v>0</v>
      </c>
      <c r="E144" s="13" t="n">
        <f aca="false">COUNTIFS(Runs!$B:$B,$A144,Runs!$H:$H,$B144,Runs!$C:$C,"Gemini",Runs!$D:$D,"v2")</f>
        <v>0</v>
      </c>
      <c r="F144" s="13" t="n">
        <f aca="false">D144+E144</f>
        <v>0</v>
      </c>
      <c r="G144" s="13" t="str">
        <f aca="false">IF(AND(D144&gt;0,E144&gt;0),"yes","no")</f>
        <v>no</v>
      </c>
      <c r="H144" s="13" t="str">
        <f aca="false">IF($B144="","",IF(AND(D144&gt;=4,E144&gt;=4),"LOCKED",IF(AND(D144&gt;=2,E144&gt;=2),"CANDIDATE",IF(F144&lt;=2,"DISCARD","WEAK"))))</f>
        <v/>
      </c>
      <c r="I144" s="14" t="str">
        <f aca="false">IFERROR(ROUND(AVERAGEIFS(Runs!$K:$K,Runs!$B:$B,$A144,Runs!$H:$H,$B144,Runs!$D:$D,"v2"),0),"")</f>
        <v/>
      </c>
      <c r="J144" s="8"/>
      <c r="K144" s="15"/>
    </row>
    <row r="145" customFormat="false" ht="15" hidden="false" customHeight="true" outlineLevel="0" collapsed="false">
      <c r="A145" s="12"/>
      <c r="B145" s="12"/>
      <c r="C145" s="12"/>
      <c r="D145" s="13" t="n">
        <f aca="false">COUNTIFS(Runs!$B:$B,$A145,Runs!$H:$H,$B145,Runs!$C:$C,"ChatGPT",Runs!$D:$D,"v2")</f>
        <v>0</v>
      </c>
      <c r="E145" s="13" t="n">
        <f aca="false">COUNTIFS(Runs!$B:$B,$A145,Runs!$H:$H,$B145,Runs!$C:$C,"Gemini",Runs!$D:$D,"v2")</f>
        <v>0</v>
      </c>
      <c r="F145" s="13" t="n">
        <f aca="false">D145+E145</f>
        <v>0</v>
      </c>
      <c r="G145" s="13" t="str">
        <f aca="false">IF(AND(D145&gt;0,E145&gt;0),"yes","no")</f>
        <v>no</v>
      </c>
      <c r="H145" s="13" t="str">
        <f aca="false">IF($B145="","",IF(AND(D145&gt;=4,E145&gt;=4),"LOCKED",IF(AND(D145&gt;=2,E145&gt;=2),"CANDIDATE",IF(F145&lt;=2,"DISCARD","WEAK"))))</f>
        <v/>
      </c>
      <c r="I145" s="14" t="str">
        <f aca="false">IFERROR(ROUND(AVERAGEIFS(Runs!$K:$K,Runs!$B:$B,$A145,Runs!$H:$H,$B145,Runs!$D:$D,"v2"),0),"")</f>
        <v/>
      </c>
      <c r="J145" s="8"/>
      <c r="K145" s="15"/>
    </row>
    <row r="146" customFormat="false" ht="15" hidden="false" customHeight="true" outlineLevel="0" collapsed="false">
      <c r="A146" s="12"/>
      <c r="B146" s="12"/>
      <c r="C146" s="12"/>
      <c r="D146" s="13" t="n">
        <f aca="false">COUNTIFS(Runs!$B:$B,$A146,Runs!$H:$H,$B146,Runs!$C:$C,"ChatGPT",Runs!$D:$D,"v2")</f>
        <v>0</v>
      </c>
      <c r="E146" s="13" t="n">
        <f aca="false">COUNTIFS(Runs!$B:$B,$A146,Runs!$H:$H,$B146,Runs!$C:$C,"Gemini",Runs!$D:$D,"v2")</f>
        <v>0</v>
      </c>
      <c r="F146" s="13" t="n">
        <f aca="false">D146+E146</f>
        <v>0</v>
      </c>
      <c r="G146" s="13" t="str">
        <f aca="false">IF(AND(D146&gt;0,E146&gt;0),"yes","no")</f>
        <v>no</v>
      </c>
      <c r="H146" s="13" t="str">
        <f aca="false">IF($B146="","",IF(AND(D146&gt;=4,E146&gt;=4),"LOCKED",IF(AND(D146&gt;=2,E146&gt;=2),"CANDIDATE",IF(F146&lt;=2,"DISCARD","WEAK"))))</f>
        <v/>
      </c>
      <c r="I146" s="14" t="str">
        <f aca="false">IFERROR(ROUND(AVERAGEIFS(Runs!$K:$K,Runs!$B:$B,$A146,Runs!$H:$H,$B146,Runs!$D:$D,"v2"),0),"")</f>
        <v/>
      </c>
      <c r="J146" s="8"/>
      <c r="K146" s="15"/>
    </row>
    <row r="147" customFormat="false" ht="15" hidden="false" customHeight="true" outlineLevel="0" collapsed="false">
      <c r="A147" s="12"/>
      <c r="B147" s="12"/>
      <c r="C147" s="12"/>
      <c r="D147" s="13" t="n">
        <f aca="false">COUNTIFS(Runs!$B:$B,$A147,Runs!$H:$H,$B147,Runs!$C:$C,"ChatGPT",Runs!$D:$D,"v2")</f>
        <v>0</v>
      </c>
      <c r="E147" s="13" t="n">
        <f aca="false">COUNTIFS(Runs!$B:$B,$A147,Runs!$H:$H,$B147,Runs!$C:$C,"Gemini",Runs!$D:$D,"v2")</f>
        <v>0</v>
      </c>
      <c r="F147" s="13" t="n">
        <f aca="false">D147+E147</f>
        <v>0</v>
      </c>
      <c r="G147" s="13" t="str">
        <f aca="false">IF(AND(D147&gt;0,E147&gt;0),"yes","no")</f>
        <v>no</v>
      </c>
      <c r="H147" s="13" t="str">
        <f aca="false">IF($B147="","",IF(AND(D147&gt;=4,E147&gt;=4),"LOCKED",IF(AND(D147&gt;=2,E147&gt;=2),"CANDIDATE",IF(F147&lt;=2,"DISCARD","WEAK"))))</f>
        <v/>
      </c>
      <c r="I147" s="14" t="str">
        <f aca="false">IFERROR(ROUND(AVERAGEIFS(Runs!$K:$K,Runs!$B:$B,$A147,Runs!$H:$H,$B147,Runs!$D:$D,"v2"),0),"")</f>
        <v/>
      </c>
      <c r="J147" s="8"/>
      <c r="K147" s="15"/>
    </row>
    <row r="148" customFormat="false" ht="15" hidden="false" customHeight="true" outlineLevel="0" collapsed="false">
      <c r="A148" s="12"/>
      <c r="B148" s="12"/>
      <c r="C148" s="12"/>
      <c r="D148" s="13" t="n">
        <f aca="false">COUNTIFS(Runs!$B:$B,$A148,Runs!$H:$H,$B148,Runs!$C:$C,"ChatGPT",Runs!$D:$D,"v2")</f>
        <v>0</v>
      </c>
      <c r="E148" s="13" t="n">
        <f aca="false">COUNTIFS(Runs!$B:$B,$A148,Runs!$H:$H,$B148,Runs!$C:$C,"Gemini",Runs!$D:$D,"v2")</f>
        <v>0</v>
      </c>
      <c r="F148" s="13" t="n">
        <f aca="false">D148+E148</f>
        <v>0</v>
      </c>
      <c r="G148" s="13" t="str">
        <f aca="false">IF(AND(D148&gt;0,E148&gt;0),"yes","no")</f>
        <v>no</v>
      </c>
      <c r="H148" s="13" t="str">
        <f aca="false">IF($B148="","",IF(AND(D148&gt;=4,E148&gt;=4),"LOCKED",IF(AND(D148&gt;=2,E148&gt;=2),"CANDIDATE",IF(F148&lt;=2,"DISCARD","WEAK"))))</f>
        <v/>
      </c>
      <c r="I148" s="14" t="str">
        <f aca="false">IFERROR(ROUND(AVERAGEIFS(Runs!$K:$K,Runs!$B:$B,$A148,Runs!$H:$H,$B148,Runs!$D:$D,"v2"),0),"")</f>
        <v/>
      </c>
      <c r="J148" s="8"/>
      <c r="K148" s="15"/>
    </row>
    <row r="149" customFormat="false" ht="15" hidden="false" customHeight="true" outlineLevel="0" collapsed="false">
      <c r="A149" s="12"/>
      <c r="B149" s="12"/>
      <c r="C149" s="12"/>
      <c r="D149" s="13" t="n">
        <f aca="false">COUNTIFS(Runs!$B:$B,$A149,Runs!$H:$H,$B149,Runs!$C:$C,"ChatGPT",Runs!$D:$D,"v2")</f>
        <v>0</v>
      </c>
      <c r="E149" s="13" t="n">
        <f aca="false">COUNTIFS(Runs!$B:$B,$A149,Runs!$H:$H,$B149,Runs!$C:$C,"Gemini",Runs!$D:$D,"v2")</f>
        <v>0</v>
      </c>
      <c r="F149" s="13" t="n">
        <f aca="false">D149+E149</f>
        <v>0</v>
      </c>
      <c r="G149" s="13" t="str">
        <f aca="false">IF(AND(D149&gt;0,E149&gt;0),"yes","no")</f>
        <v>no</v>
      </c>
      <c r="H149" s="13" t="str">
        <f aca="false">IF($B149="","",IF(AND(D149&gt;=4,E149&gt;=4),"LOCKED",IF(AND(D149&gt;=2,E149&gt;=2),"CANDIDATE",IF(F149&lt;=2,"DISCARD","WEAK"))))</f>
        <v/>
      </c>
      <c r="I149" s="14" t="str">
        <f aca="false">IFERROR(ROUND(AVERAGEIFS(Runs!$K:$K,Runs!$B:$B,$A149,Runs!$H:$H,$B149,Runs!$D:$D,"v2"),0),"")</f>
        <v/>
      </c>
      <c r="J149" s="8"/>
      <c r="K149" s="15"/>
    </row>
    <row r="150" customFormat="false" ht="15" hidden="false" customHeight="true" outlineLevel="0" collapsed="false">
      <c r="A150" s="12"/>
      <c r="B150" s="12"/>
      <c r="C150" s="12"/>
      <c r="D150" s="13" t="n">
        <f aca="false">COUNTIFS(Runs!$B:$B,$A150,Runs!$H:$H,$B150,Runs!$C:$C,"ChatGPT",Runs!$D:$D,"v2")</f>
        <v>0</v>
      </c>
      <c r="E150" s="13" t="n">
        <f aca="false">COUNTIFS(Runs!$B:$B,$A150,Runs!$H:$H,$B150,Runs!$C:$C,"Gemini",Runs!$D:$D,"v2")</f>
        <v>0</v>
      </c>
      <c r="F150" s="13" t="n">
        <f aca="false">D150+E150</f>
        <v>0</v>
      </c>
      <c r="G150" s="13" t="str">
        <f aca="false">IF(AND(D150&gt;0,E150&gt;0),"yes","no")</f>
        <v>no</v>
      </c>
      <c r="H150" s="13" t="str">
        <f aca="false">IF($B150="","",IF(AND(D150&gt;=4,E150&gt;=4),"LOCKED",IF(AND(D150&gt;=2,E150&gt;=2),"CANDIDATE",IF(F150&lt;=2,"DISCARD","WEAK"))))</f>
        <v/>
      </c>
      <c r="I150" s="14" t="str">
        <f aca="false">IFERROR(ROUND(AVERAGEIFS(Runs!$K:$K,Runs!$B:$B,$A150,Runs!$H:$H,$B150,Runs!$D:$D,"v2"),0),"")</f>
        <v/>
      </c>
      <c r="J150" s="8"/>
      <c r="K150" s="15"/>
    </row>
    <row r="151" customFormat="false" ht="15" hidden="false" customHeight="true" outlineLevel="0" collapsed="false">
      <c r="A151" s="12"/>
      <c r="B151" s="12"/>
      <c r="C151" s="12"/>
      <c r="D151" s="13" t="n">
        <f aca="false">COUNTIFS(Runs!$B:$B,$A151,Runs!$H:$H,$B151,Runs!$C:$C,"ChatGPT",Runs!$D:$D,"v2")</f>
        <v>0</v>
      </c>
      <c r="E151" s="13" t="n">
        <f aca="false">COUNTIFS(Runs!$B:$B,$A151,Runs!$H:$H,$B151,Runs!$C:$C,"Gemini",Runs!$D:$D,"v2")</f>
        <v>0</v>
      </c>
      <c r="F151" s="13" t="n">
        <f aca="false">D151+E151</f>
        <v>0</v>
      </c>
      <c r="G151" s="13" t="str">
        <f aca="false">IF(AND(D151&gt;0,E151&gt;0),"yes","no")</f>
        <v>no</v>
      </c>
      <c r="H151" s="13" t="str">
        <f aca="false">IF($B151="","",IF(AND(D151&gt;=4,E151&gt;=4),"LOCKED",IF(AND(D151&gt;=2,E151&gt;=2),"CANDIDATE",IF(F151&lt;=2,"DISCARD","WEAK"))))</f>
        <v/>
      </c>
      <c r="I151" s="14" t="str">
        <f aca="false">IFERROR(ROUND(AVERAGEIFS(Runs!$K:$K,Runs!$B:$B,$A151,Runs!$H:$H,$B151,Runs!$D:$D,"v2"),0),"")</f>
        <v/>
      </c>
      <c r="J151" s="8"/>
      <c r="K151" s="15"/>
    </row>
    <row r="152" customFormat="false" ht="15" hidden="false" customHeight="true" outlineLevel="0" collapsed="false">
      <c r="A152" s="12"/>
      <c r="B152" s="12"/>
      <c r="C152" s="12"/>
      <c r="D152" s="13" t="n">
        <f aca="false">COUNTIFS(Runs!$B:$B,$A152,Runs!$H:$H,$B152,Runs!$C:$C,"ChatGPT",Runs!$D:$D,"v2")</f>
        <v>0</v>
      </c>
      <c r="E152" s="13" t="n">
        <f aca="false">COUNTIFS(Runs!$B:$B,$A152,Runs!$H:$H,$B152,Runs!$C:$C,"Gemini",Runs!$D:$D,"v2")</f>
        <v>0</v>
      </c>
      <c r="F152" s="13" t="n">
        <f aca="false">D152+E152</f>
        <v>0</v>
      </c>
      <c r="G152" s="13" t="str">
        <f aca="false">IF(AND(D152&gt;0,E152&gt;0),"yes","no")</f>
        <v>no</v>
      </c>
      <c r="H152" s="13" t="str">
        <f aca="false">IF($B152="","",IF(AND(D152&gt;=4,E152&gt;=4),"LOCKED",IF(AND(D152&gt;=2,E152&gt;=2),"CANDIDATE",IF(F152&lt;=2,"DISCARD","WEAK"))))</f>
        <v/>
      </c>
      <c r="I152" s="14" t="str">
        <f aca="false">IFERROR(ROUND(AVERAGEIFS(Runs!$K:$K,Runs!$B:$B,$A152,Runs!$H:$H,$B152,Runs!$D:$D,"v2"),0),"")</f>
        <v/>
      </c>
      <c r="J152" s="8"/>
      <c r="K152" s="15"/>
    </row>
    <row r="153" customFormat="false" ht="15" hidden="false" customHeight="true" outlineLevel="0" collapsed="false">
      <c r="A153" s="12"/>
      <c r="B153" s="12"/>
      <c r="C153" s="12"/>
      <c r="D153" s="13" t="n">
        <f aca="false">COUNTIFS(Runs!$B:$B,$A153,Runs!$H:$H,$B153,Runs!$C:$C,"ChatGPT",Runs!$D:$D,"v2")</f>
        <v>0</v>
      </c>
      <c r="E153" s="13" t="n">
        <f aca="false">COUNTIFS(Runs!$B:$B,$A153,Runs!$H:$H,$B153,Runs!$C:$C,"Gemini",Runs!$D:$D,"v2")</f>
        <v>0</v>
      </c>
      <c r="F153" s="13" t="n">
        <f aca="false">D153+E153</f>
        <v>0</v>
      </c>
      <c r="G153" s="13" t="str">
        <f aca="false">IF(AND(D153&gt;0,E153&gt;0),"yes","no")</f>
        <v>no</v>
      </c>
      <c r="H153" s="13" t="str">
        <f aca="false">IF($B153="","",IF(AND(D153&gt;=4,E153&gt;=4),"LOCKED",IF(AND(D153&gt;=2,E153&gt;=2),"CANDIDATE",IF(F153&lt;=2,"DISCARD","WEAK"))))</f>
        <v/>
      </c>
      <c r="I153" s="14" t="str">
        <f aca="false">IFERROR(ROUND(AVERAGEIFS(Runs!$K:$K,Runs!$B:$B,$A153,Runs!$H:$H,$B153,Runs!$D:$D,"v2"),0),"")</f>
        <v/>
      </c>
      <c r="J153" s="8"/>
      <c r="K153" s="15"/>
    </row>
    <row r="154" customFormat="false" ht="15" hidden="false" customHeight="true" outlineLevel="0" collapsed="false">
      <c r="A154" s="12"/>
      <c r="B154" s="12"/>
      <c r="C154" s="12"/>
      <c r="D154" s="13" t="n">
        <f aca="false">COUNTIFS(Runs!$B:$B,$A154,Runs!$H:$H,$B154,Runs!$C:$C,"ChatGPT",Runs!$D:$D,"v2")</f>
        <v>0</v>
      </c>
      <c r="E154" s="13" t="n">
        <f aca="false">COUNTIFS(Runs!$B:$B,$A154,Runs!$H:$H,$B154,Runs!$C:$C,"Gemini",Runs!$D:$D,"v2")</f>
        <v>0</v>
      </c>
      <c r="F154" s="13" t="n">
        <f aca="false">D154+E154</f>
        <v>0</v>
      </c>
      <c r="G154" s="13" t="str">
        <f aca="false">IF(AND(D154&gt;0,E154&gt;0),"yes","no")</f>
        <v>no</v>
      </c>
      <c r="H154" s="13" t="str">
        <f aca="false">IF($B154="","",IF(AND(D154&gt;=4,E154&gt;=4),"LOCKED",IF(AND(D154&gt;=2,E154&gt;=2),"CANDIDATE",IF(F154&lt;=2,"DISCARD","WEAK"))))</f>
        <v/>
      </c>
      <c r="I154" s="14" t="str">
        <f aca="false">IFERROR(ROUND(AVERAGEIFS(Runs!$K:$K,Runs!$B:$B,$A154,Runs!$H:$H,$B154,Runs!$D:$D,"v2"),0),"")</f>
        <v/>
      </c>
      <c r="J154" s="8"/>
      <c r="K154" s="15"/>
    </row>
    <row r="155" customFormat="false" ht="15" hidden="false" customHeight="true" outlineLevel="0" collapsed="false">
      <c r="A155" s="12"/>
      <c r="B155" s="12"/>
      <c r="C155" s="12"/>
      <c r="D155" s="13" t="n">
        <f aca="false">COUNTIFS(Runs!$B:$B,$A155,Runs!$H:$H,$B155,Runs!$C:$C,"ChatGPT",Runs!$D:$D,"v2")</f>
        <v>0</v>
      </c>
      <c r="E155" s="13" t="n">
        <f aca="false">COUNTIFS(Runs!$B:$B,$A155,Runs!$H:$H,$B155,Runs!$C:$C,"Gemini",Runs!$D:$D,"v2")</f>
        <v>0</v>
      </c>
      <c r="F155" s="13" t="n">
        <f aca="false">D155+E155</f>
        <v>0</v>
      </c>
      <c r="G155" s="13" t="str">
        <f aca="false">IF(AND(D155&gt;0,E155&gt;0),"yes","no")</f>
        <v>no</v>
      </c>
      <c r="H155" s="13" t="str">
        <f aca="false">IF($B155="","",IF(AND(D155&gt;=4,E155&gt;=4),"LOCKED",IF(AND(D155&gt;=2,E155&gt;=2),"CANDIDATE",IF(F155&lt;=2,"DISCARD","WEAK"))))</f>
        <v/>
      </c>
      <c r="I155" s="14" t="str">
        <f aca="false">IFERROR(ROUND(AVERAGEIFS(Runs!$K:$K,Runs!$B:$B,$A155,Runs!$H:$H,$B155,Runs!$D:$D,"v2"),0),"")</f>
        <v/>
      </c>
      <c r="J155" s="8"/>
      <c r="K155" s="15"/>
    </row>
    <row r="156" customFormat="false" ht="15" hidden="false" customHeight="true" outlineLevel="0" collapsed="false">
      <c r="A156" s="12"/>
      <c r="B156" s="12"/>
      <c r="C156" s="12"/>
      <c r="D156" s="13" t="n">
        <f aca="false">COUNTIFS(Runs!$B:$B,$A156,Runs!$H:$H,$B156,Runs!$C:$C,"ChatGPT",Runs!$D:$D,"v2")</f>
        <v>0</v>
      </c>
      <c r="E156" s="13" t="n">
        <f aca="false">COUNTIFS(Runs!$B:$B,$A156,Runs!$H:$H,$B156,Runs!$C:$C,"Gemini",Runs!$D:$D,"v2")</f>
        <v>0</v>
      </c>
      <c r="F156" s="13" t="n">
        <f aca="false">D156+E156</f>
        <v>0</v>
      </c>
      <c r="G156" s="13" t="str">
        <f aca="false">IF(AND(D156&gt;0,E156&gt;0),"yes","no")</f>
        <v>no</v>
      </c>
      <c r="H156" s="13" t="str">
        <f aca="false">IF($B156="","",IF(AND(D156&gt;=4,E156&gt;=4),"LOCKED",IF(AND(D156&gt;=2,E156&gt;=2),"CANDIDATE",IF(F156&lt;=2,"DISCARD","WEAK"))))</f>
        <v/>
      </c>
      <c r="I156" s="14" t="str">
        <f aca="false">IFERROR(ROUND(AVERAGEIFS(Runs!$K:$K,Runs!$B:$B,$A156,Runs!$H:$H,$B156,Runs!$D:$D,"v2"),0),"")</f>
        <v/>
      </c>
      <c r="J156" s="8"/>
      <c r="K156" s="15"/>
    </row>
    <row r="157" customFormat="false" ht="15" hidden="false" customHeight="true" outlineLevel="0" collapsed="false">
      <c r="A157" s="12"/>
      <c r="B157" s="12"/>
      <c r="C157" s="12"/>
      <c r="D157" s="13" t="n">
        <f aca="false">COUNTIFS(Runs!$B:$B,$A157,Runs!$H:$H,$B157,Runs!$C:$C,"ChatGPT",Runs!$D:$D,"v2")</f>
        <v>0</v>
      </c>
      <c r="E157" s="13" t="n">
        <f aca="false">COUNTIFS(Runs!$B:$B,$A157,Runs!$H:$H,$B157,Runs!$C:$C,"Gemini",Runs!$D:$D,"v2")</f>
        <v>0</v>
      </c>
      <c r="F157" s="13" t="n">
        <f aca="false">D157+E157</f>
        <v>0</v>
      </c>
      <c r="G157" s="13" t="str">
        <f aca="false">IF(AND(D157&gt;0,E157&gt;0),"yes","no")</f>
        <v>no</v>
      </c>
      <c r="H157" s="13" t="str">
        <f aca="false">IF($B157="","",IF(AND(D157&gt;=4,E157&gt;=4),"LOCKED",IF(AND(D157&gt;=2,E157&gt;=2),"CANDIDATE",IF(F157&lt;=2,"DISCARD","WEAK"))))</f>
        <v/>
      </c>
      <c r="I157" s="14" t="str">
        <f aca="false">IFERROR(ROUND(AVERAGEIFS(Runs!$K:$K,Runs!$B:$B,$A157,Runs!$H:$H,$B157,Runs!$D:$D,"v2"),0),"")</f>
        <v/>
      </c>
      <c r="J157" s="8"/>
      <c r="K157" s="15"/>
    </row>
    <row r="158" customFormat="false" ht="15" hidden="false" customHeight="true" outlineLevel="0" collapsed="false">
      <c r="A158" s="12"/>
      <c r="B158" s="12"/>
      <c r="C158" s="12"/>
      <c r="D158" s="13" t="n">
        <f aca="false">COUNTIFS(Runs!$B:$B,$A158,Runs!$H:$H,$B158,Runs!$C:$C,"ChatGPT",Runs!$D:$D,"v2")</f>
        <v>0</v>
      </c>
      <c r="E158" s="13" t="n">
        <f aca="false">COUNTIFS(Runs!$B:$B,$A158,Runs!$H:$H,$B158,Runs!$C:$C,"Gemini",Runs!$D:$D,"v2")</f>
        <v>0</v>
      </c>
      <c r="F158" s="13" t="n">
        <f aca="false">D158+E158</f>
        <v>0</v>
      </c>
      <c r="G158" s="13" t="str">
        <f aca="false">IF(AND(D158&gt;0,E158&gt;0),"yes","no")</f>
        <v>no</v>
      </c>
      <c r="H158" s="13" t="str">
        <f aca="false">IF($B158="","",IF(AND(D158&gt;=4,E158&gt;=4),"LOCKED",IF(AND(D158&gt;=2,E158&gt;=2),"CANDIDATE",IF(F158&lt;=2,"DISCARD","WEAK"))))</f>
        <v/>
      </c>
      <c r="I158" s="14" t="str">
        <f aca="false">IFERROR(ROUND(AVERAGEIFS(Runs!$K:$K,Runs!$B:$B,$A158,Runs!$H:$H,$B158,Runs!$D:$D,"v2"),0),"")</f>
        <v/>
      </c>
      <c r="J158" s="8"/>
      <c r="K158" s="15"/>
    </row>
    <row r="159" customFormat="false" ht="15" hidden="false" customHeight="true" outlineLevel="0" collapsed="false">
      <c r="A159" s="12"/>
      <c r="B159" s="12"/>
      <c r="C159" s="12"/>
      <c r="D159" s="13" t="n">
        <f aca="false">COUNTIFS(Runs!$B:$B,$A159,Runs!$H:$H,$B159,Runs!$C:$C,"ChatGPT",Runs!$D:$D,"v2")</f>
        <v>0</v>
      </c>
      <c r="E159" s="13" t="n">
        <f aca="false">COUNTIFS(Runs!$B:$B,$A159,Runs!$H:$H,$B159,Runs!$C:$C,"Gemini",Runs!$D:$D,"v2")</f>
        <v>0</v>
      </c>
      <c r="F159" s="13" t="n">
        <f aca="false">D159+E159</f>
        <v>0</v>
      </c>
      <c r="G159" s="13" t="str">
        <f aca="false">IF(AND(D159&gt;0,E159&gt;0),"yes","no")</f>
        <v>no</v>
      </c>
      <c r="H159" s="13" t="str">
        <f aca="false">IF($B159="","",IF(AND(D159&gt;=4,E159&gt;=4),"LOCKED",IF(AND(D159&gt;=2,E159&gt;=2),"CANDIDATE",IF(F159&lt;=2,"DISCARD","WEAK"))))</f>
        <v/>
      </c>
      <c r="I159" s="14" t="str">
        <f aca="false">IFERROR(ROUND(AVERAGEIFS(Runs!$K:$K,Runs!$B:$B,$A159,Runs!$H:$H,$B159,Runs!$D:$D,"v2"),0),"")</f>
        <v/>
      </c>
      <c r="J159" s="8"/>
      <c r="K159" s="15"/>
    </row>
    <row r="160" customFormat="false" ht="15" hidden="false" customHeight="true" outlineLevel="0" collapsed="false">
      <c r="A160" s="12"/>
      <c r="B160" s="12"/>
      <c r="C160" s="12"/>
      <c r="D160" s="13" t="n">
        <f aca="false">COUNTIFS(Runs!$B:$B,$A160,Runs!$H:$H,$B160,Runs!$C:$C,"ChatGPT",Runs!$D:$D,"v2")</f>
        <v>0</v>
      </c>
      <c r="E160" s="13" t="n">
        <f aca="false">COUNTIFS(Runs!$B:$B,$A160,Runs!$H:$H,$B160,Runs!$C:$C,"Gemini",Runs!$D:$D,"v2")</f>
        <v>0</v>
      </c>
      <c r="F160" s="13" t="n">
        <f aca="false">D160+E160</f>
        <v>0</v>
      </c>
      <c r="G160" s="13" t="str">
        <f aca="false">IF(AND(D160&gt;0,E160&gt;0),"yes","no")</f>
        <v>no</v>
      </c>
      <c r="H160" s="13" t="str">
        <f aca="false">IF($B160="","",IF(AND(D160&gt;=4,E160&gt;=4),"LOCKED",IF(AND(D160&gt;=2,E160&gt;=2),"CANDIDATE",IF(F160&lt;=2,"DISCARD","WEAK"))))</f>
        <v/>
      </c>
      <c r="I160" s="14" t="str">
        <f aca="false">IFERROR(ROUND(AVERAGEIFS(Runs!$K:$K,Runs!$B:$B,$A160,Runs!$H:$H,$B160,Runs!$D:$D,"v2"),0),"")</f>
        <v/>
      </c>
      <c r="J160" s="8"/>
      <c r="K160" s="15"/>
    </row>
    <row r="161" customFormat="false" ht="15" hidden="false" customHeight="true" outlineLevel="0" collapsed="false">
      <c r="A161" s="12"/>
      <c r="B161" s="12"/>
      <c r="C161" s="12"/>
      <c r="D161" s="13" t="n">
        <f aca="false">COUNTIFS(Runs!$B:$B,$A161,Runs!$H:$H,$B161,Runs!$C:$C,"ChatGPT",Runs!$D:$D,"v2")</f>
        <v>0</v>
      </c>
      <c r="E161" s="13" t="n">
        <f aca="false">COUNTIFS(Runs!$B:$B,$A161,Runs!$H:$H,$B161,Runs!$C:$C,"Gemini",Runs!$D:$D,"v2")</f>
        <v>0</v>
      </c>
      <c r="F161" s="13" t="n">
        <f aca="false">D161+E161</f>
        <v>0</v>
      </c>
      <c r="G161" s="13" t="str">
        <f aca="false">IF(AND(D161&gt;0,E161&gt;0),"yes","no")</f>
        <v>no</v>
      </c>
      <c r="H161" s="13" t="str">
        <f aca="false">IF($B161="","",IF(AND(D161&gt;=4,E161&gt;=4),"LOCKED",IF(AND(D161&gt;=2,E161&gt;=2),"CANDIDATE",IF(F161&lt;=2,"DISCARD","WEAK"))))</f>
        <v/>
      </c>
      <c r="I161" s="14" t="str">
        <f aca="false">IFERROR(ROUND(AVERAGEIFS(Runs!$K:$K,Runs!$B:$B,$A161,Runs!$H:$H,$B161,Runs!$D:$D,"v2"),0),"")</f>
        <v/>
      </c>
      <c r="J161" s="8"/>
      <c r="K161" s="15"/>
    </row>
    <row r="162" customFormat="false" ht="15" hidden="false" customHeight="true" outlineLevel="0" collapsed="false">
      <c r="A162" s="12"/>
      <c r="B162" s="12"/>
      <c r="C162" s="12"/>
      <c r="D162" s="13" t="n">
        <f aca="false">COUNTIFS(Runs!$B:$B,$A162,Runs!$H:$H,$B162,Runs!$C:$C,"ChatGPT",Runs!$D:$D,"v2")</f>
        <v>0</v>
      </c>
      <c r="E162" s="13" t="n">
        <f aca="false">COUNTIFS(Runs!$B:$B,$A162,Runs!$H:$H,$B162,Runs!$C:$C,"Gemini",Runs!$D:$D,"v2")</f>
        <v>0</v>
      </c>
      <c r="F162" s="13" t="n">
        <f aca="false">D162+E162</f>
        <v>0</v>
      </c>
      <c r="G162" s="13" t="str">
        <f aca="false">IF(AND(D162&gt;0,E162&gt;0),"yes","no")</f>
        <v>no</v>
      </c>
      <c r="H162" s="13" t="str">
        <f aca="false">IF($B162="","",IF(AND(D162&gt;=4,E162&gt;=4),"LOCKED",IF(AND(D162&gt;=2,E162&gt;=2),"CANDIDATE",IF(F162&lt;=2,"DISCARD","WEAK"))))</f>
        <v/>
      </c>
      <c r="I162" s="14" t="str">
        <f aca="false">IFERROR(ROUND(AVERAGEIFS(Runs!$K:$K,Runs!$B:$B,$A162,Runs!$H:$H,$B162,Runs!$D:$D,"v2"),0),"")</f>
        <v/>
      </c>
      <c r="J162" s="8"/>
      <c r="K162" s="15"/>
    </row>
    <row r="163" customFormat="false" ht="15" hidden="false" customHeight="true" outlineLevel="0" collapsed="false">
      <c r="A163" s="12"/>
      <c r="B163" s="12"/>
      <c r="C163" s="12"/>
      <c r="D163" s="13" t="n">
        <f aca="false">COUNTIFS(Runs!$B:$B,$A163,Runs!$H:$H,$B163,Runs!$C:$C,"ChatGPT",Runs!$D:$D,"v2")</f>
        <v>0</v>
      </c>
      <c r="E163" s="13" t="n">
        <f aca="false">COUNTIFS(Runs!$B:$B,$A163,Runs!$H:$H,$B163,Runs!$C:$C,"Gemini",Runs!$D:$D,"v2")</f>
        <v>0</v>
      </c>
      <c r="F163" s="13" t="n">
        <f aca="false">D163+E163</f>
        <v>0</v>
      </c>
      <c r="G163" s="13" t="str">
        <f aca="false">IF(AND(D163&gt;0,E163&gt;0),"yes","no")</f>
        <v>no</v>
      </c>
      <c r="H163" s="13" t="str">
        <f aca="false">IF($B163="","",IF(AND(D163&gt;=4,E163&gt;=4),"LOCKED",IF(AND(D163&gt;=2,E163&gt;=2),"CANDIDATE",IF(F163&lt;=2,"DISCARD","WEAK"))))</f>
        <v/>
      </c>
      <c r="I163" s="14" t="str">
        <f aca="false">IFERROR(ROUND(AVERAGEIFS(Runs!$K:$K,Runs!$B:$B,$A163,Runs!$H:$H,$B163,Runs!$D:$D,"v2"),0),"")</f>
        <v/>
      </c>
      <c r="J163" s="8"/>
      <c r="K163" s="15"/>
    </row>
    <row r="164" customFormat="false" ht="15" hidden="false" customHeight="true" outlineLevel="0" collapsed="false">
      <c r="A164" s="12"/>
      <c r="B164" s="12"/>
      <c r="C164" s="12"/>
      <c r="D164" s="13" t="n">
        <f aca="false">COUNTIFS(Runs!$B:$B,$A164,Runs!$H:$H,$B164,Runs!$C:$C,"ChatGPT",Runs!$D:$D,"v2")</f>
        <v>0</v>
      </c>
      <c r="E164" s="13" t="n">
        <f aca="false">COUNTIFS(Runs!$B:$B,$A164,Runs!$H:$H,$B164,Runs!$C:$C,"Gemini",Runs!$D:$D,"v2")</f>
        <v>0</v>
      </c>
      <c r="F164" s="13" t="n">
        <f aca="false">D164+E164</f>
        <v>0</v>
      </c>
      <c r="G164" s="13" t="str">
        <f aca="false">IF(AND(D164&gt;0,E164&gt;0),"yes","no")</f>
        <v>no</v>
      </c>
      <c r="H164" s="13" t="str">
        <f aca="false">IF($B164="","",IF(AND(D164&gt;=4,E164&gt;=4),"LOCKED",IF(AND(D164&gt;=2,E164&gt;=2),"CANDIDATE",IF(F164&lt;=2,"DISCARD","WEAK"))))</f>
        <v/>
      </c>
      <c r="I164" s="14" t="str">
        <f aca="false">IFERROR(ROUND(AVERAGEIFS(Runs!$K:$K,Runs!$B:$B,$A164,Runs!$H:$H,$B164,Runs!$D:$D,"v2"),0),"")</f>
        <v/>
      </c>
      <c r="J164" s="8"/>
      <c r="K164" s="15"/>
    </row>
    <row r="165" customFormat="false" ht="15" hidden="false" customHeight="true" outlineLevel="0" collapsed="false">
      <c r="A165" s="12"/>
      <c r="B165" s="12"/>
      <c r="C165" s="12"/>
      <c r="D165" s="13" t="n">
        <f aca="false">COUNTIFS(Runs!$B:$B,$A165,Runs!$H:$H,$B165,Runs!$C:$C,"ChatGPT",Runs!$D:$D,"v2")</f>
        <v>0</v>
      </c>
      <c r="E165" s="13" t="n">
        <f aca="false">COUNTIFS(Runs!$B:$B,$A165,Runs!$H:$H,$B165,Runs!$C:$C,"Gemini",Runs!$D:$D,"v2")</f>
        <v>0</v>
      </c>
      <c r="F165" s="13" t="n">
        <f aca="false">D165+E165</f>
        <v>0</v>
      </c>
      <c r="G165" s="13" t="str">
        <f aca="false">IF(AND(D165&gt;0,E165&gt;0),"yes","no")</f>
        <v>no</v>
      </c>
      <c r="H165" s="13" t="str">
        <f aca="false">IF($B165="","",IF(AND(D165&gt;=4,E165&gt;=4),"LOCKED",IF(AND(D165&gt;=2,E165&gt;=2),"CANDIDATE",IF(F165&lt;=2,"DISCARD","WEAK"))))</f>
        <v/>
      </c>
      <c r="I165" s="14" t="str">
        <f aca="false">IFERROR(ROUND(AVERAGEIFS(Runs!$K:$K,Runs!$B:$B,$A165,Runs!$H:$H,$B165,Runs!$D:$D,"v2"),0),"")</f>
        <v/>
      </c>
      <c r="J165" s="8"/>
      <c r="K165" s="15"/>
    </row>
    <row r="166" customFormat="false" ht="15" hidden="false" customHeight="true" outlineLevel="0" collapsed="false">
      <c r="A166" s="12"/>
      <c r="B166" s="12"/>
      <c r="C166" s="12"/>
      <c r="D166" s="13" t="n">
        <f aca="false">COUNTIFS(Runs!$B:$B,$A166,Runs!$H:$H,$B166,Runs!$C:$C,"ChatGPT",Runs!$D:$D,"v2")</f>
        <v>0</v>
      </c>
      <c r="E166" s="13" t="n">
        <f aca="false">COUNTIFS(Runs!$B:$B,$A166,Runs!$H:$H,$B166,Runs!$C:$C,"Gemini",Runs!$D:$D,"v2")</f>
        <v>0</v>
      </c>
      <c r="F166" s="13" t="n">
        <f aca="false">D166+E166</f>
        <v>0</v>
      </c>
      <c r="G166" s="13" t="str">
        <f aca="false">IF(AND(D166&gt;0,E166&gt;0),"yes","no")</f>
        <v>no</v>
      </c>
      <c r="H166" s="13" t="str">
        <f aca="false">IF($B166="","",IF(AND(D166&gt;=4,E166&gt;=4),"LOCKED",IF(AND(D166&gt;=2,E166&gt;=2),"CANDIDATE",IF(F166&lt;=2,"DISCARD","WEAK"))))</f>
        <v/>
      </c>
      <c r="I166" s="14" t="str">
        <f aca="false">IFERROR(ROUND(AVERAGEIFS(Runs!$K:$K,Runs!$B:$B,$A166,Runs!$H:$H,$B166,Runs!$D:$D,"v2"),0),"")</f>
        <v/>
      </c>
      <c r="J166" s="8"/>
      <c r="K166" s="15"/>
    </row>
    <row r="167" customFormat="false" ht="15" hidden="false" customHeight="true" outlineLevel="0" collapsed="false">
      <c r="A167" s="12"/>
      <c r="B167" s="12"/>
      <c r="C167" s="12"/>
      <c r="D167" s="13" t="n">
        <f aca="false">COUNTIFS(Runs!$B:$B,$A167,Runs!$H:$H,$B167,Runs!$C:$C,"ChatGPT",Runs!$D:$D,"v2")</f>
        <v>0</v>
      </c>
      <c r="E167" s="13" t="n">
        <f aca="false">COUNTIFS(Runs!$B:$B,$A167,Runs!$H:$H,$B167,Runs!$C:$C,"Gemini",Runs!$D:$D,"v2")</f>
        <v>0</v>
      </c>
      <c r="F167" s="13" t="n">
        <f aca="false">D167+E167</f>
        <v>0</v>
      </c>
      <c r="G167" s="13" t="str">
        <f aca="false">IF(AND(D167&gt;0,E167&gt;0),"yes","no")</f>
        <v>no</v>
      </c>
      <c r="H167" s="13" t="str">
        <f aca="false">IF($B167="","",IF(AND(D167&gt;=4,E167&gt;=4),"LOCKED",IF(AND(D167&gt;=2,E167&gt;=2),"CANDIDATE",IF(F167&lt;=2,"DISCARD","WEAK"))))</f>
        <v/>
      </c>
      <c r="I167" s="14" t="str">
        <f aca="false">IFERROR(ROUND(AVERAGEIFS(Runs!$K:$K,Runs!$B:$B,$A167,Runs!$H:$H,$B167,Runs!$D:$D,"v2"),0),"")</f>
        <v/>
      </c>
      <c r="J167" s="8"/>
      <c r="K167" s="15"/>
    </row>
    <row r="168" customFormat="false" ht="15" hidden="false" customHeight="true" outlineLevel="0" collapsed="false">
      <c r="A168" s="12"/>
      <c r="B168" s="12"/>
      <c r="C168" s="12"/>
      <c r="D168" s="13" t="n">
        <f aca="false">COUNTIFS(Runs!$B:$B,$A168,Runs!$H:$H,$B168,Runs!$C:$C,"ChatGPT",Runs!$D:$D,"v2")</f>
        <v>0</v>
      </c>
      <c r="E168" s="13" t="n">
        <f aca="false">COUNTIFS(Runs!$B:$B,$A168,Runs!$H:$H,$B168,Runs!$C:$C,"Gemini",Runs!$D:$D,"v2")</f>
        <v>0</v>
      </c>
      <c r="F168" s="13" t="n">
        <f aca="false">D168+E168</f>
        <v>0</v>
      </c>
      <c r="G168" s="13" t="str">
        <f aca="false">IF(AND(D168&gt;0,E168&gt;0),"yes","no")</f>
        <v>no</v>
      </c>
      <c r="H168" s="13" t="str">
        <f aca="false">IF($B168="","",IF(AND(D168&gt;=4,E168&gt;=4),"LOCKED",IF(AND(D168&gt;=2,E168&gt;=2),"CANDIDATE",IF(F168&lt;=2,"DISCARD","WEAK"))))</f>
        <v/>
      </c>
      <c r="I168" s="14" t="str">
        <f aca="false">IFERROR(ROUND(AVERAGEIFS(Runs!$K:$K,Runs!$B:$B,$A168,Runs!$H:$H,$B168,Runs!$D:$D,"v2"),0),"")</f>
        <v/>
      </c>
      <c r="J168" s="8"/>
      <c r="K168" s="15"/>
    </row>
    <row r="169" customFormat="false" ht="15" hidden="false" customHeight="true" outlineLevel="0" collapsed="false">
      <c r="A169" s="12"/>
      <c r="B169" s="12"/>
      <c r="C169" s="12"/>
      <c r="D169" s="13" t="n">
        <f aca="false">COUNTIFS(Runs!$B:$B,$A169,Runs!$H:$H,$B169,Runs!$C:$C,"ChatGPT",Runs!$D:$D,"v2")</f>
        <v>0</v>
      </c>
      <c r="E169" s="13" t="n">
        <f aca="false">COUNTIFS(Runs!$B:$B,$A169,Runs!$H:$H,$B169,Runs!$C:$C,"Gemini",Runs!$D:$D,"v2")</f>
        <v>0</v>
      </c>
      <c r="F169" s="13" t="n">
        <f aca="false">D169+E169</f>
        <v>0</v>
      </c>
      <c r="G169" s="13" t="str">
        <f aca="false">IF(AND(D169&gt;0,E169&gt;0),"yes","no")</f>
        <v>no</v>
      </c>
      <c r="H169" s="13" t="str">
        <f aca="false">IF($B169="","",IF(AND(D169&gt;=4,E169&gt;=4),"LOCKED",IF(AND(D169&gt;=2,E169&gt;=2),"CANDIDATE",IF(F169&lt;=2,"DISCARD","WEAK"))))</f>
        <v/>
      </c>
      <c r="I169" s="14" t="str">
        <f aca="false">IFERROR(ROUND(AVERAGEIFS(Runs!$K:$K,Runs!$B:$B,$A169,Runs!$H:$H,$B169,Runs!$D:$D,"v2"),0),"")</f>
        <v/>
      </c>
      <c r="J169" s="8"/>
      <c r="K169" s="15"/>
    </row>
    <row r="170" customFormat="false" ht="15" hidden="false" customHeight="true" outlineLevel="0" collapsed="false">
      <c r="A170" s="12"/>
      <c r="B170" s="12"/>
      <c r="C170" s="12"/>
      <c r="D170" s="13" t="n">
        <f aca="false">COUNTIFS(Runs!$B:$B,$A170,Runs!$H:$H,$B170,Runs!$C:$C,"ChatGPT",Runs!$D:$D,"v2")</f>
        <v>0</v>
      </c>
      <c r="E170" s="13" t="n">
        <f aca="false">COUNTIFS(Runs!$B:$B,$A170,Runs!$H:$H,$B170,Runs!$C:$C,"Gemini",Runs!$D:$D,"v2")</f>
        <v>0</v>
      </c>
      <c r="F170" s="13" t="n">
        <f aca="false">D170+E170</f>
        <v>0</v>
      </c>
      <c r="G170" s="13" t="str">
        <f aca="false">IF(AND(D170&gt;0,E170&gt;0),"yes","no")</f>
        <v>no</v>
      </c>
      <c r="H170" s="13" t="str">
        <f aca="false">IF($B170="","",IF(AND(D170&gt;=4,E170&gt;=4),"LOCKED",IF(AND(D170&gt;=2,E170&gt;=2),"CANDIDATE",IF(F170&lt;=2,"DISCARD","WEAK"))))</f>
        <v/>
      </c>
      <c r="I170" s="14" t="str">
        <f aca="false">IFERROR(ROUND(AVERAGEIFS(Runs!$K:$K,Runs!$B:$B,$A170,Runs!$H:$H,$B170,Runs!$D:$D,"v2"),0),"")</f>
        <v/>
      </c>
      <c r="J170" s="8"/>
      <c r="K170" s="15"/>
    </row>
    <row r="171" customFormat="false" ht="15" hidden="false" customHeight="true" outlineLevel="0" collapsed="false">
      <c r="A171" s="12"/>
      <c r="B171" s="12"/>
      <c r="C171" s="12"/>
      <c r="D171" s="13" t="n">
        <f aca="false">COUNTIFS(Runs!$B:$B,$A171,Runs!$H:$H,$B171,Runs!$C:$C,"ChatGPT",Runs!$D:$D,"v2")</f>
        <v>0</v>
      </c>
      <c r="E171" s="13" t="n">
        <f aca="false">COUNTIFS(Runs!$B:$B,$A171,Runs!$H:$H,$B171,Runs!$C:$C,"Gemini",Runs!$D:$D,"v2")</f>
        <v>0</v>
      </c>
      <c r="F171" s="13" t="n">
        <f aca="false">D171+E171</f>
        <v>0</v>
      </c>
      <c r="G171" s="13" t="str">
        <f aca="false">IF(AND(D171&gt;0,E171&gt;0),"yes","no")</f>
        <v>no</v>
      </c>
      <c r="H171" s="13" t="str">
        <f aca="false">IF($B171="","",IF(AND(D171&gt;=4,E171&gt;=4),"LOCKED",IF(AND(D171&gt;=2,E171&gt;=2),"CANDIDATE",IF(F171&lt;=2,"DISCARD","WEAK"))))</f>
        <v/>
      </c>
      <c r="I171" s="14" t="str">
        <f aca="false">IFERROR(ROUND(AVERAGEIFS(Runs!$K:$K,Runs!$B:$B,$A171,Runs!$H:$H,$B171,Runs!$D:$D,"v2"),0),"")</f>
        <v/>
      </c>
      <c r="J171" s="8"/>
      <c r="K171" s="15"/>
    </row>
    <row r="172" customFormat="false" ht="15" hidden="false" customHeight="true" outlineLevel="0" collapsed="false">
      <c r="A172" s="12"/>
      <c r="B172" s="12"/>
      <c r="C172" s="12"/>
      <c r="D172" s="13" t="n">
        <f aca="false">COUNTIFS(Runs!$B:$B,$A172,Runs!$H:$H,$B172,Runs!$C:$C,"ChatGPT",Runs!$D:$D,"v2")</f>
        <v>0</v>
      </c>
      <c r="E172" s="13" t="n">
        <f aca="false">COUNTIFS(Runs!$B:$B,$A172,Runs!$H:$H,$B172,Runs!$C:$C,"Gemini",Runs!$D:$D,"v2")</f>
        <v>0</v>
      </c>
      <c r="F172" s="13" t="n">
        <f aca="false">D172+E172</f>
        <v>0</v>
      </c>
      <c r="G172" s="13" t="str">
        <f aca="false">IF(AND(D172&gt;0,E172&gt;0),"yes","no")</f>
        <v>no</v>
      </c>
      <c r="H172" s="13" t="str">
        <f aca="false">IF($B172="","",IF(AND(D172&gt;=4,E172&gt;=4),"LOCKED",IF(AND(D172&gt;=2,E172&gt;=2),"CANDIDATE",IF(F172&lt;=2,"DISCARD","WEAK"))))</f>
        <v/>
      </c>
      <c r="I172" s="14" t="str">
        <f aca="false">IFERROR(ROUND(AVERAGEIFS(Runs!$K:$K,Runs!$B:$B,$A172,Runs!$H:$H,$B172,Runs!$D:$D,"v2"),0),"")</f>
        <v/>
      </c>
      <c r="J172" s="8"/>
      <c r="K172" s="15"/>
    </row>
    <row r="173" customFormat="false" ht="15" hidden="false" customHeight="true" outlineLevel="0" collapsed="false">
      <c r="A173" s="12"/>
      <c r="B173" s="12"/>
      <c r="C173" s="12"/>
      <c r="D173" s="13" t="n">
        <f aca="false">COUNTIFS(Runs!$B:$B,$A173,Runs!$H:$H,$B173,Runs!$C:$C,"ChatGPT",Runs!$D:$D,"v2")</f>
        <v>0</v>
      </c>
      <c r="E173" s="13" t="n">
        <f aca="false">COUNTIFS(Runs!$B:$B,$A173,Runs!$H:$H,$B173,Runs!$C:$C,"Gemini",Runs!$D:$D,"v2")</f>
        <v>0</v>
      </c>
      <c r="F173" s="13" t="n">
        <f aca="false">D173+E173</f>
        <v>0</v>
      </c>
      <c r="G173" s="13" t="str">
        <f aca="false">IF(AND(D173&gt;0,E173&gt;0),"yes","no")</f>
        <v>no</v>
      </c>
      <c r="H173" s="13" t="str">
        <f aca="false">IF($B173="","",IF(AND(D173&gt;=4,E173&gt;=4),"LOCKED",IF(AND(D173&gt;=2,E173&gt;=2),"CANDIDATE",IF(F173&lt;=2,"DISCARD","WEAK"))))</f>
        <v/>
      </c>
      <c r="I173" s="14" t="str">
        <f aca="false">IFERROR(ROUND(AVERAGEIFS(Runs!$K:$K,Runs!$B:$B,$A173,Runs!$H:$H,$B173,Runs!$D:$D,"v2"),0),"")</f>
        <v/>
      </c>
      <c r="J173" s="8"/>
      <c r="K173" s="15"/>
    </row>
    <row r="174" customFormat="false" ht="15" hidden="false" customHeight="true" outlineLevel="0" collapsed="false">
      <c r="A174" s="12"/>
      <c r="B174" s="12"/>
      <c r="C174" s="12"/>
      <c r="D174" s="13" t="n">
        <f aca="false">COUNTIFS(Runs!$B:$B,$A174,Runs!$H:$H,$B174,Runs!$C:$C,"ChatGPT",Runs!$D:$D,"v2")</f>
        <v>0</v>
      </c>
      <c r="E174" s="13" t="n">
        <f aca="false">COUNTIFS(Runs!$B:$B,$A174,Runs!$H:$H,$B174,Runs!$C:$C,"Gemini",Runs!$D:$D,"v2")</f>
        <v>0</v>
      </c>
      <c r="F174" s="13" t="n">
        <f aca="false">D174+E174</f>
        <v>0</v>
      </c>
      <c r="G174" s="13" t="str">
        <f aca="false">IF(AND(D174&gt;0,E174&gt;0),"yes","no")</f>
        <v>no</v>
      </c>
      <c r="H174" s="13" t="str">
        <f aca="false">IF($B174="","",IF(AND(D174&gt;=4,E174&gt;=4),"LOCKED",IF(AND(D174&gt;=2,E174&gt;=2),"CANDIDATE",IF(F174&lt;=2,"DISCARD","WEAK"))))</f>
        <v/>
      </c>
      <c r="I174" s="14" t="str">
        <f aca="false">IFERROR(ROUND(AVERAGEIFS(Runs!$K:$K,Runs!$B:$B,$A174,Runs!$H:$H,$B174,Runs!$D:$D,"v2"),0),"")</f>
        <v/>
      </c>
      <c r="J174" s="8"/>
      <c r="K174" s="15"/>
    </row>
    <row r="175" customFormat="false" ht="15" hidden="false" customHeight="true" outlineLevel="0" collapsed="false">
      <c r="A175" s="12"/>
      <c r="B175" s="12"/>
      <c r="C175" s="12"/>
      <c r="D175" s="13" t="n">
        <f aca="false">COUNTIFS(Runs!$B:$B,$A175,Runs!$H:$H,$B175,Runs!$C:$C,"ChatGPT",Runs!$D:$D,"v2")</f>
        <v>0</v>
      </c>
      <c r="E175" s="13" t="n">
        <f aca="false">COUNTIFS(Runs!$B:$B,$A175,Runs!$H:$H,$B175,Runs!$C:$C,"Gemini",Runs!$D:$D,"v2")</f>
        <v>0</v>
      </c>
      <c r="F175" s="13" t="n">
        <f aca="false">D175+E175</f>
        <v>0</v>
      </c>
      <c r="G175" s="13" t="str">
        <f aca="false">IF(AND(D175&gt;0,E175&gt;0),"yes","no")</f>
        <v>no</v>
      </c>
      <c r="H175" s="13" t="str">
        <f aca="false">IF($B175="","",IF(AND(D175&gt;=4,E175&gt;=4),"LOCKED",IF(AND(D175&gt;=2,E175&gt;=2),"CANDIDATE",IF(F175&lt;=2,"DISCARD","WEAK"))))</f>
        <v/>
      </c>
      <c r="I175" s="14" t="str">
        <f aca="false">IFERROR(ROUND(AVERAGEIFS(Runs!$K:$K,Runs!$B:$B,$A175,Runs!$H:$H,$B175,Runs!$D:$D,"v2"),0),"")</f>
        <v/>
      </c>
      <c r="J175" s="8"/>
      <c r="K175" s="15"/>
    </row>
    <row r="176" customFormat="false" ht="15" hidden="false" customHeight="true" outlineLevel="0" collapsed="false">
      <c r="A176" s="12"/>
      <c r="B176" s="12"/>
      <c r="C176" s="12"/>
      <c r="D176" s="13" t="n">
        <f aca="false">COUNTIFS(Runs!$B:$B,$A176,Runs!$H:$H,$B176,Runs!$C:$C,"ChatGPT",Runs!$D:$D,"v2")</f>
        <v>0</v>
      </c>
      <c r="E176" s="13" t="n">
        <f aca="false">COUNTIFS(Runs!$B:$B,$A176,Runs!$H:$H,$B176,Runs!$C:$C,"Gemini",Runs!$D:$D,"v2")</f>
        <v>0</v>
      </c>
      <c r="F176" s="13" t="n">
        <f aca="false">D176+E176</f>
        <v>0</v>
      </c>
      <c r="G176" s="13" t="str">
        <f aca="false">IF(AND(D176&gt;0,E176&gt;0),"yes","no")</f>
        <v>no</v>
      </c>
      <c r="H176" s="13" t="str">
        <f aca="false">IF($B176="","",IF(AND(D176&gt;=4,E176&gt;=4),"LOCKED",IF(AND(D176&gt;=2,E176&gt;=2),"CANDIDATE",IF(F176&lt;=2,"DISCARD","WEAK"))))</f>
        <v/>
      </c>
      <c r="I176" s="14" t="str">
        <f aca="false">IFERROR(ROUND(AVERAGEIFS(Runs!$K:$K,Runs!$B:$B,$A176,Runs!$H:$H,$B176,Runs!$D:$D,"v2"),0),"")</f>
        <v/>
      </c>
      <c r="J176" s="8"/>
      <c r="K176" s="15"/>
    </row>
    <row r="177" customFormat="false" ht="15" hidden="false" customHeight="true" outlineLevel="0" collapsed="false">
      <c r="A177" s="12"/>
      <c r="B177" s="12"/>
      <c r="C177" s="12"/>
      <c r="D177" s="13" t="n">
        <f aca="false">COUNTIFS(Runs!$B:$B,$A177,Runs!$H:$H,$B177,Runs!$C:$C,"ChatGPT",Runs!$D:$D,"v2")</f>
        <v>0</v>
      </c>
      <c r="E177" s="13" t="n">
        <f aca="false">COUNTIFS(Runs!$B:$B,$A177,Runs!$H:$H,$B177,Runs!$C:$C,"Gemini",Runs!$D:$D,"v2")</f>
        <v>0</v>
      </c>
      <c r="F177" s="13" t="n">
        <f aca="false">D177+E177</f>
        <v>0</v>
      </c>
      <c r="G177" s="13" t="str">
        <f aca="false">IF(AND(D177&gt;0,E177&gt;0),"yes","no")</f>
        <v>no</v>
      </c>
      <c r="H177" s="13" t="str">
        <f aca="false">IF($B177="","",IF(AND(D177&gt;=4,E177&gt;=4),"LOCKED",IF(AND(D177&gt;=2,E177&gt;=2),"CANDIDATE",IF(F177&lt;=2,"DISCARD","WEAK"))))</f>
        <v/>
      </c>
      <c r="I177" s="14" t="str">
        <f aca="false">IFERROR(ROUND(AVERAGEIFS(Runs!$K:$K,Runs!$B:$B,$A177,Runs!$H:$H,$B177,Runs!$D:$D,"v2"),0),"")</f>
        <v/>
      </c>
      <c r="J177" s="8"/>
      <c r="K177" s="15"/>
    </row>
    <row r="178" customFormat="false" ht="15" hidden="false" customHeight="true" outlineLevel="0" collapsed="false">
      <c r="A178" s="12"/>
      <c r="B178" s="12"/>
      <c r="C178" s="12"/>
      <c r="D178" s="13" t="n">
        <f aca="false">COUNTIFS(Runs!$B:$B,$A178,Runs!$H:$H,$B178,Runs!$C:$C,"ChatGPT",Runs!$D:$D,"v2")</f>
        <v>0</v>
      </c>
      <c r="E178" s="13" t="n">
        <f aca="false">COUNTIFS(Runs!$B:$B,$A178,Runs!$H:$H,$B178,Runs!$C:$C,"Gemini",Runs!$D:$D,"v2")</f>
        <v>0</v>
      </c>
      <c r="F178" s="13" t="n">
        <f aca="false">D178+E178</f>
        <v>0</v>
      </c>
      <c r="G178" s="13" t="str">
        <f aca="false">IF(AND(D178&gt;0,E178&gt;0),"yes","no")</f>
        <v>no</v>
      </c>
      <c r="H178" s="13" t="str">
        <f aca="false">IF($B178="","",IF(AND(D178&gt;=4,E178&gt;=4),"LOCKED",IF(AND(D178&gt;=2,E178&gt;=2),"CANDIDATE",IF(F178&lt;=2,"DISCARD","WEAK"))))</f>
        <v/>
      </c>
      <c r="I178" s="14" t="str">
        <f aca="false">IFERROR(ROUND(AVERAGEIFS(Runs!$K:$K,Runs!$B:$B,$A178,Runs!$H:$H,$B178,Runs!$D:$D,"v2"),0),"")</f>
        <v/>
      </c>
      <c r="J178" s="8"/>
      <c r="K178" s="15"/>
    </row>
    <row r="179" customFormat="false" ht="15" hidden="false" customHeight="true" outlineLevel="0" collapsed="false">
      <c r="A179" s="12"/>
      <c r="B179" s="12"/>
      <c r="C179" s="12"/>
      <c r="D179" s="13" t="n">
        <f aca="false">COUNTIFS(Runs!$B:$B,$A179,Runs!$H:$H,$B179,Runs!$C:$C,"ChatGPT",Runs!$D:$D,"v2")</f>
        <v>0</v>
      </c>
      <c r="E179" s="13" t="n">
        <f aca="false">COUNTIFS(Runs!$B:$B,$A179,Runs!$H:$H,$B179,Runs!$C:$C,"Gemini",Runs!$D:$D,"v2")</f>
        <v>0</v>
      </c>
      <c r="F179" s="13" t="n">
        <f aca="false">D179+E179</f>
        <v>0</v>
      </c>
      <c r="G179" s="13" t="str">
        <f aca="false">IF(AND(D179&gt;0,E179&gt;0),"yes","no")</f>
        <v>no</v>
      </c>
      <c r="H179" s="13" t="str">
        <f aca="false">IF($B179="","",IF(AND(D179&gt;=4,E179&gt;=4),"LOCKED",IF(AND(D179&gt;=2,E179&gt;=2),"CANDIDATE",IF(F179&lt;=2,"DISCARD","WEAK"))))</f>
        <v/>
      </c>
      <c r="I179" s="14" t="str">
        <f aca="false">IFERROR(ROUND(AVERAGEIFS(Runs!$K:$K,Runs!$B:$B,$A179,Runs!$H:$H,$B179,Runs!$D:$D,"v2"),0),"")</f>
        <v/>
      </c>
      <c r="J179" s="8"/>
      <c r="K179" s="15"/>
    </row>
    <row r="180" customFormat="false" ht="15" hidden="false" customHeight="true" outlineLevel="0" collapsed="false">
      <c r="A180" s="12"/>
      <c r="B180" s="12"/>
      <c r="C180" s="12"/>
      <c r="D180" s="13" t="n">
        <f aca="false">COUNTIFS(Runs!$B:$B,$A180,Runs!$H:$H,$B180,Runs!$C:$C,"ChatGPT",Runs!$D:$D,"v2")</f>
        <v>0</v>
      </c>
      <c r="E180" s="13" t="n">
        <f aca="false">COUNTIFS(Runs!$B:$B,$A180,Runs!$H:$H,$B180,Runs!$C:$C,"Gemini",Runs!$D:$D,"v2")</f>
        <v>0</v>
      </c>
      <c r="F180" s="13" t="n">
        <f aca="false">D180+E180</f>
        <v>0</v>
      </c>
      <c r="G180" s="13" t="str">
        <f aca="false">IF(AND(D180&gt;0,E180&gt;0),"yes","no")</f>
        <v>no</v>
      </c>
      <c r="H180" s="13" t="str">
        <f aca="false">IF($B180="","",IF(AND(D180&gt;=4,E180&gt;=4),"LOCKED",IF(AND(D180&gt;=2,E180&gt;=2),"CANDIDATE",IF(F180&lt;=2,"DISCARD","WEAK"))))</f>
        <v/>
      </c>
      <c r="I180" s="14" t="str">
        <f aca="false">IFERROR(ROUND(AVERAGEIFS(Runs!$K:$K,Runs!$B:$B,$A180,Runs!$H:$H,$B180,Runs!$D:$D,"v2"),0),"")</f>
        <v/>
      </c>
      <c r="J180" s="8"/>
      <c r="K180" s="15"/>
    </row>
    <row r="181" customFormat="false" ht="15" hidden="false" customHeight="true" outlineLevel="0" collapsed="false">
      <c r="A181" s="12"/>
      <c r="B181" s="12"/>
      <c r="C181" s="12"/>
      <c r="D181" s="13" t="n">
        <f aca="false">COUNTIFS(Runs!$B:$B,$A181,Runs!$H:$H,$B181,Runs!$C:$C,"ChatGPT",Runs!$D:$D,"v2")</f>
        <v>0</v>
      </c>
      <c r="E181" s="13" t="n">
        <f aca="false">COUNTIFS(Runs!$B:$B,$A181,Runs!$H:$H,$B181,Runs!$C:$C,"Gemini",Runs!$D:$D,"v2")</f>
        <v>0</v>
      </c>
      <c r="F181" s="13" t="n">
        <f aca="false">D181+E181</f>
        <v>0</v>
      </c>
      <c r="G181" s="13" t="str">
        <f aca="false">IF(AND(D181&gt;0,E181&gt;0),"yes","no")</f>
        <v>no</v>
      </c>
      <c r="H181" s="13" t="str">
        <f aca="false">IF($B181="","",IF(AND(D181&gt;=4,E181&gt;=4),"LOCKED",IF(AND(D181&gt;=2,E181&gt;=2),"CANDIDATE",IF(F181&lt;=2,"DISCARD","WEAK"))))</f>
        <v/>
      </c>
      <c r="I181" s="14" t="str">
        <f aca="false">IFERROR(ROUND(AVERAGEIFS(Runs!$K:$K,Runs!$B:$B,$A181,Runs!$H:$H,$B181,Runs!$D:$D,"v2"),0),"")</f>
        <v/>
      </c>
      <c r="J181" s="8"/>
      <c r="K181" s="15"/>
    </row>
    <row r="182" customFormat="false" ht="15" hidden="false" customHeight="true" outlineLevel="0" collapsed="false">
      <c r="A182" s="12"/>
      <c r="B182" s="12"/>
      <c r="C182" s="12"/>
      <c r="D182" s="13" t="n">
        <f aca="false">COUNTIFS(Runs!$B:$B,$A182,Runs!$H:$H,$B182,Runs!$C:$C,"ChatGPT",Runs!$D:$D,"v2")</f>
        <v>0</v>
      </c>
      <c r="E182" s="13" t="n">
        <f aca="false">COUNTIFS(Runs!$B:$B,$A182,Runs!$H:$H,$B182,Runs!$C:$C,"Gemini",Runs!$D:$D,"v2")</f>
        <v>0</v>
      </c>
      <c r="F182" s="13" t="n">
        <f aca="false">D182+E182</f>
        <v>0</v>
      </c>
      <c r="G182" s="13" t="str">
        <f aca="false">IF(AND(D182&gt;0,E182&gt;0),"yes","no")</f>
        <v>no</v>
      </c>
      <c r="H182" s="13" t="str">
        <f aca="false">IF($B182="","",IF(AND(D182&gt;=4,E182&gt;=4),"LOCKED",IF(AND(D182&gt;=2,E182&gt;=2),"CANDIDATE",IF(F182&lt;=2,"DISCARD","WEAK"))))</f>
        <v/>
      </c>
      <c r="I182" s="14" t="str">
        <f aca="false">IFERROR(ROUND(AVERAGEIFS(Runs!$K:$K,Runs!$B:$B,$A182,Runs!$H:$H,$B182,Runs!$D:$D,"v2"),0),"")</f>
        <v/>
      </c>
      <c r="J182" s="8"/>
      <c r="K182" s="15"/>
    </row>
    <row r="183" customFormat="false" ht="15" hidden="false" customHeight="true" outlineLevel="0" collapsed="false">
      <c r="A183" s="12"/>
      <c r="B183" s="12"/>
      <c r="C183" s="12"/>
      <c r="D183" s="13" t="n">
        <f aca="false">COUNTIFS(Runs!$B:$B,$A183,Runs!$H:$H,$B183,Runs!$C:$C,"ChatGPT",Runs!$D:$D,"v2")</f>
        <v>0</v>
      </c>
      <c r="E183" s="13" t="n">
        <f aca="false">COUNTIFS(Runs!$B:$B,$A183,Runs!$H:$H,$B183,Runs!$C:$C,"Gemini",Runs!$D:$D,"v2")</f>
        <v>0</v>
      </c>
      <c r="F183" s="13" t="n">
        <f aca="false">D183+E183</f>
        <v>0</v>
      </c>
      <c r="G183" s="13" t="str">
        <f aca="false">IF(AND(D183&gt;0,E183&gt;0),"yes","no")</f>
        <v>no</v>
      </c>
      <c r="H183" s="13" t="str">
        <f aca="false">IF($B183="","",IF(AND(D183&gt;=4,E183&gt;=4),"LOCKED",IF(AND(D183&gt;=2,E183&gt;=2),"CANDIDATE",IF(F183&lt;=2,"DISCARD","WEAK"))))</f>
        <v/>
      </c>
      <c r="I183" s="14" t="str">
        <f aca="false">IFERROR(ROUND(AVERAGEIFS(Runs!$K:$K,Runs!$B:$B,$A183,Runs!$H:$H,$B183,Runs!$D:$D,"v2"),0),"")</f>
        <v/>
      </c>
      <c r="J183" s="8"/>
      <c r="K183" s="15"/>
    </row>
    <row r="184" customFormat="false" ht="15" hidden="false" customHeight="true" outlineLevel="0" collapsed="false">
      <c r="A184" s="12"/>
      <c r="B184" s="12"/>
      <c r="C184" s="12"/>
      <c r="D184" s="13" t="n">
        <f aca="false">COUNTIFS(Runs!$B:$B,$A184,Runs!$H:$H,$B184,Runs!$C:$C,"ChatGPT",Runs!$D:$D,"v2")</f>
        <v>0</v>
      </c>
      <c r="E184" s="13" t="n">
        <f aca="false">COUNTIFS(Runs!$B:$B,$A184,Runs!$H:$H,$B184,Runs!$C:$C,"Gemini",Runs!$D:$D,"v2")</f>
        <v>0</v>
      </c>
      <c r="F184" s="13" t="n">
        <f aca="false">D184+E184</f>
        <v>0</v>
      </c>
      <c r="G184" s="13" t="str">
        <f aca="false">IF(AND(D184&gt;0,E184&gt;0),"yes","no")</f>
        <v>no</v>
      </c>
      <c r="H184" s="13" t="str">
        <f aca="false">IF($B184="","",IF(AND(D184&gt;=4,E184&gt;=4),"LOCKED",IF(AND(D184&gt;=2,E184&gt;=2),"CANDIDATE",IF(F184&lt;=2,"DISCARD","WEAK"))))</f>
        <v/>
      </c>
      <c r="I184" s="14" t="str">
        <f aca="false">IFERROR(ROUND(AVERAGEIFS(Runs!$K:$K,Runs!$B:$B,$A184,Runs!$H:$H,$B184,Runs!$D:$D,"v2"),0),"")</f>
        <v/>
      </c>
      <c r="J184" s="8"/>
      <c r="K184" s="15"/>
    </row>
    <row r="185" customFormat="false" ht="15" hidden="false" customHeight="true" outlineLevel="0" collapsed="false">
      <c r="A185" s="12"/>
      <c r="B185" s="12"/>
      <c r="C185" s="12"/>
      <c r="D185" s="13" t="n">
        <f aca="false">COUNTIFS(Runs!$B:$B,$A185,Runs!$H:$H,$B185,Runs!$C:$C,"ChatGPT",Runs!$D:$D,"v2")</f>
        <v>0</v>
      </c>
      <c r="E185" s="13" t="n">
        <f aca="false">COUNTIFS(Runs!$B:$B,$A185,Runs!$H:$H,$B185,Runs!$C:$C,"Gemini",Runs!$D:$D,"v2")</f>
        <v>0</v>
      </c>
      <c r="F185" s="13" t="n">
        <f aca="false">D185+E185</f>
        <v>0</v>
      </c>
      <c r="G185" s="13" t="str">
        <f aca="false">IF(AND(D185&gt;0,E185&gt;0),"yes","no")</f>
        <v>no</v>
      </c>
      <c r="H185" s="13" t="str">
        <f aca="false">IF($B185="","",IF(AND(D185&gt;=4,E185&gt;=4),"LOCKED",IF(AND(D185&gt;=2,E185&gt;=2),"CANDIDATE",IF(F185&lt;=2,"DISCARD","WEAK"))))</f>
        <v/>
      </c>
      <c r="I185" s="14" t="str">
        <f aca="false">IFERROR(ROUND(AVERAGEIFS(Runs!$K:$K,Runs!$B:$B,$A185,Runs!$H:$H,$B185,Runs!$D:$D,"v2"),0),"")</f>
        <v/>
      </c>
      <c r="J185" s="8"/>
      <c r="K185" s="15"/>
    </row>
    <row r="186" customFormat="false" ht="15" hidden="false" customHeight="true" outlineLevel="0" collapsed="false">
      <c r="A186" s="12"/>
      <c r="B186" s="12"/>
      <c r="C186" s="12"/>
      <c r="D186" s="13" t="n">
        <f aca="false">COUNTIFS(Runs!$B:$B,$A186,Runs!$H:$H,$B186,Runs!$C:$C,"ChatGPT",Runs!$D:$D,"v2")</f>
        <v>0</v>
      </c>
      <c r="E186" s="13" t="n">
        <f aca="false">COUNTIFS(Runs!$B:$B,$A186,Runs!$H:$H,$B186,Runs!$C:$C,"Gemini",Runs!$D:$D,"v2")</f>
        <v>0</v>
      </c>
      <c r="F186" s="13" t="n">
        <f aca="false">D186+E186</f>
        <v>0</v>
      </c>
      <c r="G186" s="13" t="str">
        <f aca="false">IF(AND(D186&gt;0,E186&gt;0),"yes","no")</f>
        <v>no</v>
      </c>
      <c r="H186" s="13" t="str">
        <f aca="false">IF($B186="","",IF(AND(D186&gt;=4,E186&gt;=4),"LOCKED",IF(AND(D186&gt;=2,E186&gt;=2),"CANDIDATE",IF(F186&lt;=2,"DISCARD","WEAK"))))</f>
        <v/>
      </c>
      <c r="I186" s="14" t="str">
        <f aca="false">IFERROR(ROUND(AVERAGEIFS(Runs!$K:$K,Runs!$B:$B,$A186,Runs!$H:$H,$B186,Runs!$D:$D,"v2"),0),"")</f>
        <v/>
      </c>
      <c r="J186" s="8"/>
      <c r="K186" s="15"/>
    </row>
    <row r="187" customFormat="false" ht="15" hidden="false" customHeight="true" outlineLevel="0" collapsed="false">
      <c r="A187" s="12"/>
      <c r="B187" s="12"/>
      <c r="C187" s="12"/>
      <c r="D187" s="13" t="n">
        <f aca="false">COUNTIFS(Runs!$B:$B,$A187,Runs!$H:$H,$B187,Runs!$C:$C,"ChatGPT",Runs!$D:$D,"v2")</f>
        <v>0</v>
      </c>
      <c r="E187" s="13" t="n">
        <f aca="false">COUNTIFS(Runs!$B:$B,$A187,Runs!$H:$H,$B187,Runs!$C:$C,"Gemini",Runs!$D:$D,"v2")</f>
        <v>0</v>
      </c>
      <c r="F187" s="13" t="n">
        <f aca="false">D187+E187</f>
        <v>0</v>
      </c>
      <c r="G187" s="13" t="str">
        <f aca="false">IF(AND(D187&gt;0,E187&gt;0),"yes","no")</f>
        <v>no</v>
      </c>
      <c r="H187" s="13" t="str">
        <f aca="false">IF($B187="","",IF(AND(D187&gt;=4,E187&gt;=4),"LOCKED",IF(AND(D187&gt;=2,E187&gt;=2),"CANDIDATE",IF(F187&lt;=2,"DISCARD","WEAK"))))</f>
        <v/>
      </c>
      <c r="I187" s="14" t="str">
        <f aca="false">IFERROR(ROUND(AVERAGEIFS(Runs!$K:$K,Runs!$B:$B,$A187,Runs!$H:$H,$B187,Runs!$D:$D,"v2"),0),"")</f>
        <v/>
      </c>
      <c r="J187" s="8"/>
      <c r="K187" s="15"/>
    </row>
    <row r="188" customFormat="false" ht="15" hidden="false" customHeight="true" outlineLevel="0" collapsed="false">
      <c r="A188" s="12"/>
      <c r="B188" s="12"/>
      <c r="C188" s="12"/>
      <c r="D188" s="13" t="n">
        <f aca="false">COUNTIFS(Runs!$B:$B,$A188,Runs!$H:$H,$B188,Runs!$C:$C,"ChatGPT",Runs!$D:$D,"v2")</f>
        <v>0</v>
      </c>
      <c r="E188" s="13" t="n">
        <f aca="false">COUNTIFS(Runs!$B:$B,$A188,Runs!$H:$H,$B188,Runs!$C:$C,"Gemini",Runs!$D:$D,"v2")</f>
        <v>0</v>
      </c>
      <c r="F188" s="13" t="n">
        <f aca="false">D188+E188</f>
        <v>0</v>
      </c>
      <c r="G188" s="13" t="str">
        <f aca="false">IF(AND(D188&gt;0,E188&gt;0),"yes","no")</f>
        <v>no</v>
      </c>
      <c r="H188" s="13" t="str">
        <f aca="false">IF($B188="","",IF(AND(D188&gt;=4,E188&gt;=4),"LOCKED",IF(AND(D188&gt;=2,E188&gt;=2),"CANDIDATE",IF(F188&lt;=2,"DISCARD","WEAK"))))</f>
        <v/>
      </c>
      <c r="I188" s="14" t="str">
        <f aca="false">IFERROR(ROUND(AVERAGEIFS(Runs!$K:$K,Runs!$B:$B,$A188,Runs!$H:$H,$B188,Runs!$D:$D,"v2"),0),"")</f>
        <v/>
      </c>
      <c r="J188" s="8"/>
      <c r="K188" s="15"/>
    </row>
    <row r="189" customFormat="false" ht="15" hidden="false" customHeight="true" outlineLevel="0" collapsed="false">
      <c r="A189" s="12"/>
      <c r="B189" s="12"/>
      <c r="C189" s="12"/>
      <c r="D189" s="13" t="n">
        <f aca="false">COUNTIFS(Runs!$B:$B,$A189,Runs!$H:$H,$B189,Runs!$C:$C,"ChatGPT",Runs!$D:$D,"v2")</f>
        <v>0</v>
      </c>
      <c r="E189" s="13" t="n">
        <f aca="false">COUNTIFS(Runs!$B:$B,$A189,Runs!$H:$H,$B189,Runs!$C:$C,"Gemini",Runs!$D:$D,"v2")</f>
        <v>0</v>
      </c>
      <c r="F189" s="13" t="n">
        <f aca="false">D189+E189</f>
        <v>0</v>
      </c>
      <c r="G189" s="13" t="str">
        <f aca="false">IF(AND(D189&gt;0,E189&gt;0),"yes","no")</f>
        <v>no</v>
      </c>
      <c r="H189" s="13" t="str">
        <f aca="false">IF($B189="","",IF(AND(D189&gt;=4,E189&gt;=4),"LOCKED",IF(AND(D189&gt;=2,E189&gt;=2),"CANDIDATE",IF(F189&lt;=2,"DISCARD","WEAK"))))</f>
        <v/>
      </c>
      <c r="I189" s="14" t="str">
        <f aca="false">IFERROR(ROUND(AVERAGEIFS(Runs!$K:$K,Runs!$B:$B,$A189,Runs!$H:$H,$B189,Runs!$D:$D,"v2"),0),"")</f>
        <v/>
      </c>
      <c r="J189" s="8"/>
      <c r="K189" s="15"/>
    </row>
    <row r="190" customFormat="false" ht="15" hidden="false" customHeight="true" outlineLevel="0" collapsed="false">
      <c r="A190" s="12"/>
      <c r="B190" s="12"/>
      <c r="C190" s="12"/>
      <c r="D190" s="13" t="n">
        <f aca="false">COUNTIFS(Runs!$B:$B,$A190,Runs!$H:$H,$B190,Runs!$C:$C,"ChatGPT",Runs!$D:$D,"v2")</f>
        <v>0</v>
      </c>
      <c r="E190" s="13" t="n">
        <f aca="false">COUNTIFS(Runs!$B:$B,$A190,Runs!$H:$H,$B190,Runs!$C:$C,"Gemini",Runs!$D:$D,"v2")</f>
        <v>0</v>
      </c>
      <c r="F190" s="13" t="n">
        <f aca="false">D190+E190</f>
        <v>0</v>
      </c>
      <c r="G190" s="13" t="str">
        <f aca="false">IF(AND(D190&gt;0,E190&gt;0),"yes","no")</f>
        <v>no</v>
      </c>
      <c r="H190" s="13" t="str">
        <f aca="false">IF($B190="","",IF(AND(D190&gt;=4,E190&gt;=4),"LOCKED",IF(AND(D190&gt;=2,E190&gt;=2),"CANDIDATE",IF(F190&lt;=2,"DISCARD","WEAK"))))</f>
        <v/>
      </c>
      <c r="I190" s="14" t="str">
        <f aca="false">IFERROR(ROUND(AVERAGEIFS(Runs!$K:$K,Runs!$B:$B,$A190,Runs!$H:$H,$B190,Runs!$D:$D,"v2"),0),"")</f>
        <v/>
      </c>
      <c r="J190" s="8"/>
      <c r="K190" s="15"/>
    </row>
    <row r="191" customFormat="false" ht="15" hidden="false" customHeight="true" outlineLevel="0" collapsed="false">
      <c r="A191" s="12"/>
      <c r="B191" s="12"/>
      <c r="C191" s="12"/>
      <c r="D191" s="13" t="n">
        <f aca="false">COUNTIFS(Runs!$B:$B,$A191,Runs!$H:$H,$B191,Runs!$C:$C,"ChatGPT",Runs!$D:$D,"v2")</f>
        <v>0</v>
      </c>
      <c r="E191" s="13" t="n">
        <f aca="false">COUNTIFS(Runs!$B:$B,$A191,Runs!$H:$H,$B191,Runs!$C:$C,"Gemini",Runs!$D:$D,"v2")</f>
        <v>0</v>
      </c>
      <c r="F191" s="13" t="n">
        <f aca="false">D191+E191</f>
        <v>0</v>
      </c>
      <c r="G191" s="13" t="str">
        <f aca="false">IF(AND(D191&gt;0,E191&gt;0),"yes","no")</f>
        <v>no</v>
      </c>
      <c r="H191" s="13" t="str">
        <f aca="false">IF($B191="","",IF(AND(D191&gt;=4,E191&gt;=4),"LOCKED",IF(AND(D191&gt;=2,E191&gt;=2),"CANDIDATE",IF(F191&lt;=2,"DISCARD","WEAK"))))</f>
        <v/>
      </c>
      <c r="I191" s="14" t="str">
        <f aca="false">IFERROR(ROUND(AVERAGEIFS(Runs!$K:$K,Runs!$B:$B,$A191,Runs!$H:$H,$B191,Runs!$D:$D,"v2"),0),"")</f>
        <v/>
      </c>
      <c r="J191" s="8"/>
      <c r="K191" s="15"/>
    </row>
    <row r="192" customFormat="false" ht="15" hidden="false" customHeight="true" outlineLevel="0" collapsed="false">
      <c r="A192" s="12"/>
      <c r="B192" s="12"/>
      <c r="C192" s="12"/>
      <c r="D192" s="13" t="n">
        <f aca="false">COUNTIFS(Runs!$B:$B,$A192,Runs!$H:$H,$B192,Runs!$C:$C,"ChatGPT",Runs!$D:$D,"v2")</f>
        <v>0</v>
      </c>
      <c r="E192" s="13" t="n">
        <f aca="false">COUNTIFS(Runs!$B:$B,$A192,Runs!$H:$H,$B192,Runs!$C:$C,"Gemini",Runs!$D:$D,"v2")</f>
        <v>0</v>
      </c>
      <c r="F192" s="13" t="n">
        <f aca="false">D192+E192</f>
        <v>0</v>
      </c>
      <c r="G192" s="13" t="str">
        <f aca="false">IF(AND(D192&gt;0,E192&gt;0),"yes","no")</f>
        <v>no</v>
      </c>
      <c r="H192" s="13" t="str">
        <f aca="false">IF($B192="","",IF(AND(D192&gt;=4,E192&gt;=4),"LOCKED",IF(AND(D192&gt;=2,E192&gt;=2),"CANDIDATE",IF(F192&lt;=2,"DISCARD","WEAK"))))</f>
        <v/>
      </c>
      <c r="I192" s="14" t="str">
        <f aca="false">IFERROR(ROUND(AVERAGEIFS(Runs!$K:$K,Runs!$B:$B,$A192,Runs!$H:$H,$B192,Runs!$D:$D,"v2"),0),"")</f>
        <v/>
      </c>
      <c r="J192" s="8"/>
      <c r="K192" s="15"/>
    </row>
    <row r="193" customFormat="false" ht="15" hidden="false" customHeight="true" outlineLevel="0" collapsed="false">
      <c r="A193" s="12"/>
      <c r="B193" s="12"/>
      <c r="C193" s="12"/>
      <c r="D193" s="13" t="n">
        <f aca="false">COUNTIFS(Runs!$B:$B,$A193,Runs!$H:$H,$B193,Runs!$C:$C,"ChatGPT",Runs!$D:$D,"v2")</f>
        <v>0</v>
      </c>
      <c r="E193" s="13" t="n">
        <f aca="false">COUNTIFS(Runs!$B:$B,$A193,Runs!$H:$H,$B193,Runs!$C:$C,"Gemini",Runs!$D:$D,"v2")</f>
        <v>0</v>
      </c>
      <c r="F193" s="13" t="n">
        <f aca="false">D193+E193</f>
        <v>0</v>
      </c>
      <c r="G193" s="13" t="str">
        <f aca="false">IF(AND(D193&gt;0,E193&gt;0),"yes","no")</f>
        <v>no</v>
      </c>
      <c r="H193" s="13" t="str">
        <f aca="false">IF($B193="","",IF(AND(D193&gt;=4,E193&gt;=4),"LOCKED",IF(AND(D193&gt;=2,E193&gt;=2),"CANDIDATE",IF(F193&lt;=2,"DISCARD","WEAK"))))</f>
        <v/>
      </c>
      <c r="I193" s="14" t="str">
        <f aca="false">IFERROR(ROUND(AVERAGEIFS(Runs!$K:$K,Runs!$B:$B,$A193,Runs!$H:$H,$B193,Runs!$D:$D,"v2"),0),"")</f>
        <v/>
      </c>
      <c r="J193" s="8"/>
      <c r="K193" s="15"/>
    </row>
    <row r="194" customFormat="false" ht="15" hidden="false" customHeight="true" outlineLevel="0" collapsed="false">
      <c r="A194" s="12"/>
      <c r="B194" s="12"/>
      <c r="C194" s="12"/>
      <c r="D194" s="13" t="n">
        <f aca="false">COUNTIFS(Runs!$B:$B,$A194,Runs!$H:$H,$B194,Runs!$C:$C,"ChatGPT",Runs!$D:$D,"v2")</f>
        <v>0</v>
      </c>
      <c r="E194" s="13" t="n">
        <f aca="false">COUNTIFS(Runs!$B:$B,$A194,Runs!$H:$H,$B194,Runs!$C:$C,"Gemini",Runs!$D:$D,"v2")</f>
        <v>0</v>
      </c>
      <c r="F194" s="13" t="n">
        <f aca="false">D194+E194</f>
        <v>0</v>
      </c>
      <c r="G194" s="13" t="str">
        <f aca="false">IF(AND(D194&gt;0,E194&gt;0),"yes","no")</f>
        <v>no</v>
      </c>
      <c r="H194" s="13" t="str">
        <f aca="false">IF($B194="","",IF(AND(D194&gt;=4,E194&gt;=4),"LOCKED",IF(AND(D194&gt;=2,E194&gt;=2),"CANDIDATE",IF(F194&lt;=2,"DISCARD","WEAK"))))</f>
        <v/>
      </c>
      <c r="I194" s="14" t="str">
        <f aca="false">IFERROR(ROUND(AVERAGEIFS(Runs!$K:$K,Runs!$B:$B,$A194,Runs!$H:$H,$B194,Runs!$D:$D,"v2"),0),"")</f>
        <v/>
      </c>
      <c r="J194" s="8"/>
      <c r="K194" s="15"/>
    </row>
    <row r="195" customFormat="false" ht="15" hidden="false" customHeight="true" outlineLevel="0" collapsed="false">
      <c r="A195" s="12"/>
      <c r="B195" s="12"/>
      <c r="C195" s="12"/>
      <c r="D195" s="13" t="n">
        <f aca="false">COUNTIFS(Runs!$B:$B,$A195,Runs!$H:$H,$B195,Runs!$C:$C,"ChatGPT",Runs!$D:$D,"v2")</f>
        <v>0</v>
      </c>
      <c r="E195" s="13" t="n">
        <f aca="false">COUNTIFS(Runs!$B:$B,$A195,Runs!$H:$H,$B195,Runs!$C:$C,"Gemini",Runs!$D:$D,"v2")</f>
        <v>0</v>
      </c>
      <c r="F195" s="13" t="n">
        <f aca="false">D195+E195</f>
        <v>0</v>
      </c>
      <c r="G195" s="13" t="str">
        <f aca="false">IF(AND(D195&gt;0,E195&gt;0),"yes","no")</f>
        <v>no</v>
      </c>
      <c r="H195" s="13" t="str">
        <f aca="false">IF($B195="","",IF(AND(D195&gt;=4,E195&gt;=4),"LOCKED",IF(AND(D195&gt;=2,E195&gt;=2),"CANDIDATE",IF(F195&lt;=2,"DISCARD","WEAK"))))</f>
        <v/>
      </c>
      <c r="I195" s="14" t="str">
        <f aca="false">IFERROR(ROUND(AVERAGEIFS(Runs!$K:$K,Runs!$B:$B,$A195,Runs!$H:$H,$B195,Runs!$D:$D,"v2"),0),"")</f>
        <v/>
      </c>
      <c r="J195" s="8"/>
      <c r="K195" s="15"/>
    </row>
    <row r="196" customFormat="false" ht="15" hidden="false" customHeight="true" outlineLevel="0" collapsed="false">
      <c r="A196" s="12"/>
      <c r="B196" s="12"/>
      <c r="C196" s="12"/>
      <c r="D196" s="13" t="n">
        <f aca="false">COUNTIFS(Runs!$B:$B,$A196,Runs!$H:$H,$B196,Runs!$C:$C,"ChatGPT",Runs!$D:$D,"v2")</f>
        <v>0</v>
      </c>
      <c r="E196" s="13" t="n">
        <f aca="false">COUNTIFS(Runs!$B:$B,$A196,Runs!$H:$H,$B196,Runs!$C:$C,"Gemini",Runs!$D:$D,"v2")</f>
        <v>0</v>
      </c>
      <c r="F196" s="13" t="n">
        <f aca="false">D196+E196</f>
        <v>0</v>
      </c>
      <c r="G196" s="13" t="str">
        <f aca="false">IF(AND(D196&gt;0,E196&gt;0),"yes","no")</f>
        <v>no</v>
      </c>
      <c r="H196" s="13" t="str">
        <f aca="false">IF($B196="","",IF(AND(D196&gt;=4,E196&gt;=4),"LOCKED",IF(AND(D196&gt;=2,E196&gt;=2),"CANDIDATE",IF(F196&lt;=2,"DISCARD","WEAK"))))</f>
        <v/>
      </c>
      <c r="I196" s="14" t="str">
        <f aca="false">IFERROR(ROUND(AVERAGEIFS(Runs!$K:$K,Runs!$B:$B,$A196,Runs!$H:$H,$B196,Runs!$D:$D,"v2"),0),"")</f>
        <v/>
      </c>
      <c r="J196" s="8"/>
      <c r="K196" s="15"/>
    </row>
    <row r="197" customFormat="false" ht="15" hidden="false" customHeight="true" outlineLevel="0" collapsed="false">
      <c r="A197" s="12"/>
      <c r="B197" s="12"/>
      <c r="C197" s="12"/>
      <c r="D197" s="13" t="n">
        <f aca="false">COUNTIFS(Runs!$B:$B,$A197,Runs!$H:$H,$B197,Runs!$C:$C,"ChatGPT",Runs!$D:$D,"v2")</f>
        <v>0</v>
      </c>
      <c r="E197" s="13" t="n">
        <f aca="false">COUNTIFS(Runs!$B:$B,$A197,Runs!$H:$H,$B197,Runs!$C:$C,"Gemini",Runs!$D:$D,"v2")</f>
        <v>0</v>
      </c>
      <c r="F197" s="13" t="n">
        <f aca="false">D197+E197</f>
        <v>0</v>
      </c>
      <c r="G197" s="13" t="str">
        <f aca="false">IF(AND(D197&gt;0,E197&gt;0),"yes","no")</f>
        <v>no</v>
      </c>
      <c r="H197" s="13" t="str">
        <f aca="false">IF($B197="","",IF(AND(D197&gt;=4,E197&gt;=4),"LOCKED",IF(AND(D197&gt;=2,E197&gt;=2),"CANDIDATE",IF(F197&lt;=2,"DISCARD","WEAK"))))</f>
        <v/>
      </c>
      <c r="I197" s="14" t="str">
        <f aca="false">IFERROR(ROUND(AVERAGEIFS(Runs!$K:$K,Runs!$B:$B,$A197,Runs!$H:$H,$B197,Runs!$D:$D,"v2"),0),"")</f>
        <v/>
      </c>
      <c r="J197" s="8"/>
      <c r="K197" s="15"/>
    </row>
    <row r="198" customFormat="false" ht="15" hidden="false" customHeight="true" outlineLevel="0" collapsed="false">
      <c r="A198" s="12"/>
      <c r="B198" s="12"/>
      <c r="C198" s="12"/>
      <c r="D198" s="13" t="n">
        <f aca="false">COUNTIFS(Runs!$B:$B,$A198,Runs!$H:$H,$B198,Runs!$C:$C,"ChatGPT",Runs!$D:$D,"v2")</f>
        <v>0</v>
      </c>
      <c r="E198" s="13" t="n">
        <f aca="false">COUNTIFS(Runs!$B:$B,$A198,Runs!$H:$H,$B198,Runs!$C:$C,"Gemini",Runs!$D:$D,"v2")</f>
        <v>0</v>
      </c>
      <c r="F198" s="13" t="n">
        <f aca="false">D198+E198</f>
        <v>0</v>
      </c>
      <c r="G198" s="13" t="str">
        <f aca="false">IF(AND(D198&gt;0,E198&gt;0),"yes","no")</f>
        <v>no</v>
      </c>
      <c r="H198" s="13" t="str">
        <f aca="false">IF($B198="","",IF(AND(D198&gt;=4,E198&gt;=4),"LOCKED",IF(AND(D198&gt;=2,E198&gt;=2),"CANDIDATE",IF(F198&lt;=2,"DISCARD","WEAK"))))</f>
        <v/>
      </c>
      <c r="I198" s="14" t="str">
        <f aca="false">IFERROR(ROUND(AVERAGEIFS(Runs!$K:$K,Runs!$B:$B,$A198,Runs!$H:$H,$B198,Runs!$D:$D,"v2"),0),"")</f>
        <v/>
      </c>
      <c r="J198" s="8"/>
      <c r="K198" s="15"/>
    </row>
    <row r="199" customFormat="false" ht="15" hidden="false" customHeight="true" outlineLevel="0" collapsed="false">
      <c r="A199" s="12"/>
      <c r="B199" s="12"/>
      <c r="C199" s="12"/>
      <c r="D199" s="13" t="n">
        <f aca="false">COUNTIFS(Runs!$B:$B,$A199,Runs!$H:$H,$B199,Runs!$C:$C,"ChatGPT",Runs!$D:$D,"v2")</f>
        <v>0</v>
      </c>
      <c r="E199" s="13" t="n">
        <f aca="false">COUNTIFS(Runs!$B:$B,$A199,Runs!$H:$H,$B199,Runs!$C:$C,"Gemini",Runs!$D:$D,"v2")</f>
        <v>0</v>
      </c>
      <c r="F199" s="13" t="n">
        <f aca="false">D199+E199</f>
        <v>0</v>
      </c>
      <c r="G199" s="13" t="str">
        <f aca="false">IF(AND(D199&gt;0,E199&gt;0),"yes","no")</f>
        <v>no</v>
      </c>
      <c r="H199" s="13" t="str">
        <f aca="false">IF($B199="","",IF(AND(D199&gt;=4,E199&gt;=4),"LOCKED",IF(AND(D199&gt;=2,E199&gt;=2),"CANDIDATE",IF(F199&lt;=2,"DISCARD","WEAK"))))</f>
        <v/>
      </c>
      <c r="I199" s="14" t="str">
        <f aca="false">IFERROR(ROUND(AVERAGEIFS(Runs!$K:$K,Runs!$B:$B,$A199,Runs!$H:$H,$B199,Runs!$D:$D,"v2"),0),"")</f>
        <v/>
      </c>
      <c r="J199" s="8"/>
      <c r="K199" s="15"/>
    </row>
    <row r="200" customFormat="false" ht="15" hidden="false" customHeight="true" outlineLevel="0" collapsed="false">
      <c r="A200" s="12"/>
      <c r="B200" s="12"/>
      <c r="C200" s="12"/>
      <c r="D200" s="13" t="n">
        <f aca="false">COUNTIFS(Runs!$B:$B,$A200,Runs!$H:$H,$B200,Runs!$C:$C,"ChatGPT",Runs!$D:$D,"v2")</f>
        <v>0</v>
      </c>
      <c r="E200" s="13" t="n">
        <f aca="false">COUNTIFS(Runs!$B:$B,$A200,Runs!$H:$H,$B200,Runs!$C:$C,"Gemini",Runs!$D:$D,"v2")</f>
        <v>0</v>
      </c>
      <c r="F200" s="13" t="n">
        <f aca="false">D200+E200</f>
        <v>0</v>
      </c>
      <c r="G200" s="13" t="str">
        <f aca="false">IF(AND(D200&gt;0,E200&gt;0),"yes","no")</f>
        <v>no</v>
      </c>
      <c r="H200" s="13" t="str">
        <f aca="false">IF($B200="","",IF(AND(D200&gt;=4,E200&gt;=4),"LOCKED",IF(AND(D200&gt;=2,E200&gt;=2),"CANDIDATE",IF(F200&lt;=2,"DISCARD","WEAK"))))</f>
        <v/>
      </c>
      <c r="I200" s="14" t="str">
        <f aca="false">IFERROR(ROUND(AVERAGEIFS(Runs!$K:$K,Runs!$B:$B,$A200,Runs!$H:$H,$B200,Runs!$D:$D,"v2"),0),"")</f>
        <v/>
      </c>
      <c r="J200" s="8"/>
      <c r="K200" s="15"/>
    </row>
    <row r="201" customFormat="false" ht="15" hidden="false" customHeight="true" outlineLevel="0" collapsed="false">
      <c r="A201" s="12"/>
      <c r="B201" s="12"/>
      <c r="C201" s="12"/>
      <c r="D201" s="13" t="n">
        <f aca="false">COUNTIFS(Runs!$B:$B,$A201,Runs!$H:$H,$B201,Runs!$C:$C,"ChatGPT",Runs!$D:$D,"v2")</f>
        <v>0</v>
      </c>
      <c r="E201" s="13" t="n">
        <f aca="false">COUNTIFS(Runs!$B:$B,$A201,Runs!$H:$H,$B201,Runs!$C:$C,"Gemini",Runs!$D:$D,"v2")</f>
        <v>0</v>
      </c>
      <c r="F201" s="13" t="n">
        <f aca="false">D201+E201</f>
        <v>0</v>
      </c>
      <c r="G201" s="13" t="str">
        <f aca="false">IF(AND(D201&gt;0,E201&gt;0),"yes","no")</f>
        <v>no</v>
      </c>
      <c r="H201" s="13" t="str">
        <f aca="false">IF($B201="","",IF(AND(D201&gt;=4,E201&gt;=4),"LOCKED",IF(AND(D201&gt;=2,E201&gt;=2),"CANDIDATE",IF(F201&lt;=2,"DISCARD","WEAK"))))</f>
        <v/>
      </c>
      <c r="I201" s="14" t="str">
        <f aca="false">IFERROR(ROUND(AVERAGEIFS(Runs!$K:$K,Runs!$B:$B,$A201,Runs!$H:$H,$B201,Runs!$D:$D,"v2"),0),"")</f>
        <v/>
      </c>
      <c r="J201" s="8"/>
      <c r="K201" s="15"/>
    </row>
    <row r="202" customFormat="false" ht="15" hidden="false" customHeight="true" outlineLevel="0" collapsed="false">
      <c r="A202" s="12"/>
      <c r="B202" s="12"/>
      <c r="C202" s="12"/>
      <c r="D202" s="13" t="n">
        <f aca="false">COUNTIFS(Runs!$B:$B,$A202,Runs!$H:$H,$B202,Runs!$C:$C,"ChatGPT",Runs!$D:$D,"v2")</f>
        <v>0</v>
      </c>
      <c r="E202" s="13" t="n">
        <f aca="false">COUNTIFS(Runs!$B:$B,$A202,Runs!$H:$H,$B202,Runs!$C:$C,"Gemini",Runs!$D:$D,"v2")</f>
        <v>0</v>
      </c>
      <c r="F202" s="13" t="n">
        <f aca="false">D202+E202</f>
        <v>0</v>
      </c>
      <c r="G202" s="13" t="str">
        <f aca="false">IF(AND(D202&gt;0,E202&gt;0),"yes","no")</f>
        <v>no</v>
      </c>
      <c r="H202" s="13" t="str">
        <f aca="false">IF($B202="","",IF(AND(D202&gt;=4,E202&gt;=4),"LOCKED",IF(AND(D202&gt;=2,E202&gt;=2),"CANDIDATE",IF(F202&lt;=2,"DISCARD","WEAK"))))</f>
        <v/>
      </c>
      <c r="I202" s="14" t="str">
        <f aca="false">IFERROR(ROUND(AVERAGEIFS(Runs!$K:$K,Runs!$B:$B,$A202,Runs!$H:$H,$B202,Runs!$D:$D,"v2"),0),"")</f>
        <v/>
      </c>
      <c r="J202" s="8"/>
      <c r="K202" s="15"/>
    </row>
    <row r="203" customFormat="false" ht="15" hidden="false" customHeight="true" outlineLevel="0" collapsed="false">
      <c r="A203" s="12"/>
      <c r="B203" s="12"/>
      <c r="C203" s="12"/>
      <c r="D203" s="13" t="n">
        <f aca="false">COUNTIFS(Runs!$B:$B,$A203,Runs!$H:$H,$B203,Runs!$C:$C,"ChatGPT",Runs!$D:$D,"v2")</f>
        <v>0</v>
      </c>
      <c r="E203" s="13" t="n">
        <f aca="false">COUNTIFS(Runs!$B:$B,$A203,Runs!$H:$H,$B203,Runs!$C:$C,"Gemini",Runs!$D:$D,"v2")</f>
        <v>0</v>
      </c>
      <c r="F203" s="13" t="n">
        <f aca="false">D203+E203</f>
        <v>0</v>
      </c>
      <c r="G203" s="13" t="str">
        <f aca="false">IF(AND(D203&gt;0,E203&gt;0),"yes","no")</f>
        <v>no</v>
      </c>
      <c r="H203" s="13" t="str">
        <f aca="false">IF($B203="","",IF(AND(D203&gt;=4,E203&gt;=4),"LOCKED",IF(AND(D203&gt;=2,E203&gt;=2),"CANDIDATE",IF(F203&lt;=2,"DISCARD","WEAK"))))</f>
        <v/>
      </c>
      <c r="I203" s="14" t="str">
        <f aca="false">IFERROR(ROUND(AVERAGEIFS(Runs!$K:$K,Runs!$B:$B,$A203,Runs!$H:$H,$B203,Runs!$D:$D,"v2"),0),"")</f>
        <v/>
      </c>
      <c r="J203" s="8"/>
      <c r="K203" s="15"/>
    </row>
    <row r="204" customFormat="false" ht="15" hidden="false" customHeight="true" outlineLevel="0" collapsed="false">
      <c r="A204" s="12"/>
      <c r="B204" s="12"/>
      <c r="C204" s="12"/>
      <c r="D204" s="13" t="n">
        <f aca="false">COUNTIFS(Runs!$B:$B,$A204,Runs!$H:$H,$B204,Runs!$C:$C,"ChatGPT",Runs!$D:$D,"v2")</f>
        <v>0</v>
      </c>
      <c r="E204" s="13" t="n">
        <f aca="false">COUNTIFS(Runs!$B:$B,$A204,Runs!$H:$H,$B204,Runs!$C:$C,"Gemini",Runs!$D:$D,"v2")</f>
        <v>0</v>
      </c>
      <c r="F204" s="13" t="n">
        <f aca="false">D204+E204</f>
        <v>0</v>
      </c>
      <c r="G204" s="13" t="str">
        <f aca="false">IF(AND(D204&gt;0,E204&gt;0),"yes","no")</f>
        <v>no</v>
      </c>
      <c r="H204" s="13" t="str">
        <f aca="false">IF($B204="","",IF(AND(D204&gt;=4,E204&gt;=4),"LOCKED",IF(AND(D204&gt;=2,E204&gt;=2),"CANDIDATE",IF(F204&lt;=2,"DISCARD","WEAK"))))</f>
        <v/>
      </c>
      <c r="I204" s="14" t="str">
        <f aca="false">IFERROR(ROUND(AVERAGEIFS(Runs!$K:$K,Runs!$B:$B,$A204,Runs!$H:$H,$B204,Runs!$D:$D,"v2"),0),"")</f>
        <v/>
      </c>
      <c r="J204" s="8"/>
      <c r="K204" s="15"/>
    </row>
    <row r="205" customFormat="false" ht="15" hidden="false" customHeight="true" outlineLevel="0" collapsed="false">
      <c r="A205" s="12"/>
      <c r="B205" s="12"/>
      <c r="C205" s="12"/>
      <c r="D205" s="13" t="n">
        <f aca="false">COUNTIFS(Runs!$B:$B,$A205,Runs!$H:$H,$B205,Runs!$C:$C,"ChatGPT",Runs!$D:$D,"v2")</f>
        <v>0</v>
      </c>
      <c r="E205" s="13" t="n">
        <f aca="false">COUNTIFS(Runs!$B:$B,$A205,Runs!$H:$H,$B205,Runs!$C:$C,"Gemini",Runs!$D:$D,"v2")</f>
        <v>0</v>
      </c>
      <c r="F205" s="13" t="n">
        <f aca="false">D205+E205</f>
        <v>0</v>
      </c>
      <c r="G205" s="13" t="str">
        <f aca="false">IF(AND(D205&gt;0,E205&gt;0),"yes","no")</f>
        <v>no</v>
      </c>
      <c r="H205" s="13" t="str">
        <f aca="false">IF($B205="","",IF(AND(D205&gt;=4,E205&gt;=4),"LOCKED",IF(AND(D205&gt;=2,E205&gt;=2),"CANDIDATE",IF(F205&lt;=2,"DISCARD","WEAK"))))</f>
        <v/>
      </c>
      <c r="I205" s="14" t="str">
        <f aca="false">IFERROR(ROUND(AVERAGEIFS(Runs!$K:$K,Runs!$B:$B,$A205,Runs!$H:$H,$B205,Runs!$D:$D,"v2"),0),"")</f>
        <v/>
      </c>
      <c r="J205" s="8"/>
      <c r="K205" s="15"/>
    </row>
    <row r="206" customFormat="false" ht="15" hidden="false" customHeight="true" outlineLevel="0" collapsed="false">
      <c r="A206" s="12"/>
      <c r="B206" s="12"/>
      <c r="C206" s="12"/>
      <c r="D206" s="13" t="n">
        <f aca="false">COUNTIFS(Runs!$B:$B,$A206,Runs!$H:$H,$B206,Runs!$C:$C,"ChatGPT",Runs!$D:$D,"v2")</f>
        <v>0</v>
      </c>
      <c r="E206" s="13" t="n">
        <f aca="false">COUNTIFS(Runs!$B:$B,$A206,Runs!$H:$H,$B206,Runs!$C:$C,"Gemini",Runs!$D:$D,"v2")</f>
        <v>0</v>
      </c>
      <c r="F206" s="13" t="n">
        <f aca="false">D206+E206</f>
        <v>0</v>
      </c>
      <c r="G206" s="13" t="str">
        <f aca="false">IF(AND(D206&gt;0,E206&gt;0),"yes","no")</f>
        <v>no</v>
      </c>
      <c r="H206" s="13" t="str">
        <f aca="false">IF($B206="","",IF(AND(D206&gt;=4,E206&gt;=4),"LOCKED",IF(AND(D206&gt;=2,E206&gt;=2),"CANDIDATE",IF(F206&lt;=2,"DISCARD","WEAK"))))</f>
        <v/>
      </c>
      <c r="I206" s="14" t="str">
        <f aca="false">IFERROR(ROUND(AVERAGEIFS(Runs!$K:$K,Runs!$B:$B,$A206,Runs!$H:$H,$B206,Runs!$D:$D,"v2"),0),"")</f>
        <v/>
      </c>
      <c r="J206" s="8"/>
      <c r="K206" s="15"/>
    </row>
    <row r="207" customFormat="false" ht="15" hidden="false" customHeight="true" outlineLevel="0" collapsed="false">
      <c r="A207" s="12"/>
      <c r="B207" s="12"/>
      <c r="C207" s="12"/>
      <c r="D207" s="13" t="n">
        <f aca="false">COUNTIFS(Runs!$B:$B,$A207,Runs!$H:$H,$B207,Runs!$C:$C,"ChatGPT",Runs!$D:$D,"v2")</f>
        <v>0</v>
      </c>
      <c r="E207" s="13" t="n">
        <f aca="false">COUNTIFS(Runs!$B:$B,$A207,Runs!$H:$H,$B207,Runs!$C:$C,"Gemini",Runs!$D:$D,"v2")</f>
        <v>0</v>
      </c>
      <c r="F207" s="13" t="n">
        <f aca="false">D207+E207</f>
        <v>0</v>
      </c>
      <c r="G207" s="13" t="str">
        <f aca="false">IF(AND(D207&gt;0,E207&gt;0),"yes","no")</f>
        <v>no</v>
      </c>
      <c r="H207" s="13" t="str">
        <f aca="false">IF($B207="","",IF(AND(D207&gt;=4,E207&gt;=4),"LOCKED",IF(AND(D207&gt;=2,E207&gt;=2),"CANDIDATE",IF(F207&lt;=2,"DISCARD","WEAK"))))</f>
        <v/>
      </c>
      <c r="I207" s="14" t="str">
        <f aca="false">IFERROR(ROUND(AVERAGEIFS(Runs!$K:$K,Runs!$B:$B,$A207,Runs!$H:$H,$B207,Runs!$D:$D,"v2"),0),"")</f>
        <v/>
      </c>
      <c r="J207" s="8"/>
      <c r="K207" s="15"/>
    </row>
    <row r="208" customFormat="false" ht="15" hidden="false" customHeight="true" outlineLevel="0" collapsed="false">
      <c r="A208" s="12"/>
      <c r="B208" s="12"/>
      <c r="C208" s="12"/>
      <c r="D208" s="13" t="n">
        <f aca="false">COUNTIFS(Runs!$B:$B,$A208,Runs!$H:$H,$B208,Runs!$C:$C,"ChatGPT",Runs!$D:$D,"v2")</f>
        <v>0</v>
      </c>
      <c r="E208" s="13" t="n">
        <f aca="false">COUNTIFS(Runs!$B:$B,$A208,Runs!$H:$H,$B208,Runs!$C:$C,"Gemini",Runs!$D:$D,"v2")</f>
        <v>0</v>
      </c>
      <c r="F208" s="13" t="n">
        <f aca="false">D208+E208</f>
        <v>0</v>
      </c>
      <c r="G208" s="13" t="str">
        <f aca="false">IF(AND(D208&gt;0,E208&gt;0),"yes","no")</f>
        <v>no</v>
      </c>
      <c r="H208" s="13" t="str">
        <f aca="false">IF($B208="","",IF(AND(D208&gt;=4,E208&gt;=4),"LOCKED",IF(AND(D208&gt;=2,E208&gt;=2),"CANDIDATE",IF(F208&lt;=2,"DISCARD","WEAK"))))</f>
        <v/>
      </c>
      <c r="I208" s="14" t="str">
        <f aca="false">IFERROR(ROUND(AVERAGEIFS(Runs!$K:$K,Runs!$B:$B,$A208,Runs!$H:$H,$B208,Runs!$D:$D,"v2"),0),"")</f>
        <v/>
      </c>
      <c r="J208" s="8"/>
      <c r="K208" s="15"/>
    </row>
    <row r="209" customFormat="false" ht="15" hidden="false" customHeight="true" outlineLevel="0" collapsed="false">
      <c r="A209" s="12"/>
      <c r="B209" s="12"/>
      <c r="C209" s="12"/>
      <c r="D209" s="13" t="n">
        <f aca="false">COUNTIFS(Runs!$B:$B,$A209,Runs!$H:$H,$B209,Runs!$C:$C,"ChatGPT",Runs!$D:$D,"v2")</f>
        <v>0</v>
      </c>
      <c r="E209" s="13" t="n">
        <f aca="false">COUNTIFS(Runs!$B:$B,$A209,Runs!$H:$H,$B209,Runs!$C:$C,"Gemini",Runs!$D:$D,"v2")</f>
        <v>0</v>
      </c>
      <c r="F209" s="13" t="n">
        <f aca="false">D209+E209</f>
        <v>0</v>
      </c>
      <c r="G209" s="13" t="str">
        <f aca="false">IF(AND(D209&gt;0,E209&gt;0),"yes","no")</f>
        <v>no</v>
      </c>
      <c r="H209" s="13" t="str">
        <f aca="false">IF($B209="","",IF(AND(D209&gt;=4,E209&gt;=4),"LOCKED",IF(AND(D209&gt;=2,E209&gt;=2),"CANDIDATE",IF(F209&lt;=2,"DISCARD","WEAK"))))</f>
        <v/>
      </c>
      <c r="I209" s="14" t="str">
        <f aca="false">IFERROR(ROUND(AVERAGEIFS(Runs!$K:$K,Runs!$B:$B,$A209,Runs!$H:$H,$B209,Runs!$D:$D,"v2"),0),"")</f>
        <v/>
      </c>
      <c r="J209" s="8"/>
      <c r="K209" s="15"/>
    </row>
    <row r="210" customFormat="false" ht="15" hidden="false" customHeight="true" outlineLevel="0" collapsed="false">
      <c r="A210" s="12"/>
      <c r="B210" s="12"/>
      <c r="C210" s="12"/>
      <c r="D210" s="13" t="n">
        <f aca="false">COUNTIFS(Runs!$B:$B,$A210,Runs!$H:$H,$B210,Runs!$C:$C,"ChatGPT",Runs!$D:$D,"v2")</f>
        <v>0</v>
      </c>
      <c r="E210" s="13" t="n">
        <f aca="false">COUNTIFS(Runs!$B:$B,$A210,Runs!$H:$H,$B210,Runs!$C:$C,"Gemini",Runs!$D:$D,"v2")</f>
        <v>0</v>
      </c>
      <c r="F210" s="13" t="n">
        <f aca="false">D210+E210</f>
        <v>0</v>
      </c>
      <c r="G210" s="13" t="str">
        <f aca="false">IF(AND(D210&gt;0,E210&gt;0),"yes","no")</f>
        <v>no</v>
      </c>
      <c r="H210" s="13" t="str">
        <f aca="false">IF($B210="","",IF(AND(D210&gt;=4,E210&gt;=4),"LOCKED",IF(AND(D210&gt;=2,E210&gt;=2),"CANDIDATE",IF(F210&lt;=2,"DISCARD","WEAK"))))</f>
        <v/>
      </c>
      <c r="I210" s="14" t="str">
        <f aca="false">IFERROR(ROUND(AVERAGEIFS(Runs!$K:$K,Runs!$B:$B,$A210,Runs!$H:$H,$B210,Runs!$D:$D,"v2"),0),"")</f>
        <v/>
      </c>
      <c r="J210" s="8"/>
      <c r="K210" s="15"/>
    </row>
    <row r="211" customFormat="false" ht="15" hidden="false" customHeight="true" outlineLevel="0" collapsed="false">
      <c r="A211" s="12"/>
      <c r="B211" s="12"/>
      <c r="C211" s="12"/>
      <c r="D211" s="13" t="n">
        <f aca="false">COUNTIFS(Runs!$B:$B,$A211,Runs!$H:$H,$B211,Runs!$C:$C,"ChatGPT",Runs!$D:$D,"v2")</f>
        <v>0</v>
      </c>
      <c r="E211" s="13" t="n">
        <f aca="false">COUNTIFS(Runs!$B:$B,$A211,Runs!$H:$H,$B211,Runs!$C:$C,"Gemini",Runs!$D:$D,"v2")</f>
        <v>0</v>
      </c>
      <c r="F211" s="13" t="n">
        <f aca="false">D211+E211</f>
        <v>0</v>
      </c>
      <c r="G211" s="13" t="str">
        <f aca="false">IF(AND(D211&gt;0,E211&gt;0),"yes","no")</f>
        <v>no</v>
      </c>
      <c r="H211" s="13" t="str">
        <f aca="false">IF($B211="","",IF(AND(D211&gt;=4,E211&gt;=4),"LOCKED",IF(AND(D211&gt;=2,E211&gt;=2),"CANDIDATE",IF(F211&lt;=2,"DISCARD","WEAK"))))</f>
        <v/>
      </c>
      <c r="I211" s="14" t="str">
        <f aca="false">IFERROR(ROUND(AVERAGEIFS(Runs!$K:$K,Runs!$B:$B,$A211,Runs!$H:$H,$B211,Runs!$D:$D,"v2"),0),"")</f>
        <v/>
      </c>
      <c r="J211" s="8"/>
      <c r="K211" s="15"/>
    </row>
    <row r="212" customFormat="false" ht="15" hidden="false" customHeight="true" outlineLevel="0" collapsed="false">
      <c r="A212" s="12"/>
      <c r="B212" s="12"/>
      <c r="C212" s="12"/>
      <c r="D212" s="13" t="n">
        <f aca="false">COUNTIFS(Runs!$B:$B,$A212,Runs!$H:$H,$B212,Runs!$C:$C,"ChatGPT",Runs!$D:$D,"v2")</f>
        <v>0</v>
      </c>
      <c r="E212" s="13" t="n">
        <f aca="false">COUNTIFS(Runs!$B:$B,$A212,Runs!$H:$H,$B212,Runs!$C:$C,"Gemini",Runs!$D:$D,"v2")</f>
        <v>0</v>
      </c>
      <c r="F212" s="13" t="n">
        <f aca="false">D212+E212</f>
        <v>0</v>
      </c>
      <c r="G212" s="13" t="str">
        <f aca="false">IF(AND(D212&gt;0,E212&gt;0),"yes","no")</f>
        <v>no</v>
      </c>
      <c r="H212" s="13" t="str">
        <f aca="false">IF($B212="","",IF(AND(D212&gt;=4,E212&gt;=4),"LOCKED",IF(AND(D212&gt;=2,E212&gt;=2),"CANDIDATE",IF(F212&lt;=2,"DISCARD","WEAK"))))</f>
        <v/>
      </c>
      <c r="I212" s="14" t="str">
        <f aca="false">IFERROR(ROUND(AVERAGEIFS(Runs!$K:$K,Runs!$B:$B,$A212,Runs!$H:$H,$B212,Runs!$D:$D,"v2"),0),"")</f>
        <v/>
      </c>
      <c r="J212" s="8"/>
      <c r="K212" s="15"/>
    </row>
    <row r="213" customFormat="false" ht="15" hidden="false" customHeight="true" outlineLevel="0" collapsed="false">
      <c r="A213" s="12"/>
      <c r="B213" s="12"/>
      <c r="C213" s="12"/>
      <c r="D213" s="13" t="n">
        <f aca="false">COUNTIFS(Runs!$B:$B,$A213,Runs!$H:$H,$B213,Runs!$C:$C,"ChatGPT",Runs!$D:$D,"v2")</f>
        <v>0</v>
      </c>
      <c r="E213" s="13" t="n">
        <f aca="false">COUNTIFS(Runs!$B:$B,$A213,Runs!$H:$H,$B213,Runs!$C:$C,"Gemini",Runs!$D:$D,"v2")</f>
        <v>0</v>
      </c>
      <c r="F213" s="13" t="n">
        <f aca="false">D213+E213</f>
        <v>0</v>
      </c>
      <c r="G213" s="13" t="str">
        <f aca="false">IF(AND(D213&gt;0,E213&gt;0),"yes","no")</f>
        <v>no</v>
      </c>
      <c r="H213" s="13" t="str">
        <f aca="false">IF($B213="","",IF(AND(D213&gt;=4,E213&gt;=4),"LOCKED",IF(AND(D213&gt;=2,E213&gt;=2),"CANDIDATE",IF(F213&lt;=2,"DISCARD","WEAK"))))</f>
        <v/>
      </c>
      <c r="I213" s="14" t="str">
        <f aca="false">IFERROR(ROUND(AVERAGEIFS(Runs!$K:$K,Runs!$B:$B,$A213,Runs!$H:$H,$B213,Runs!$D:$D,"v2"),0),"")</f>
        <v/>
      </c>
      <c r="J213" s="8"/>
      <c r="K213" s="15"/>
    </row>
    <row r="214" customFormat="false" ht="15" hidden="false" customHeight="true" outlineLevel="0" collapsed="false">
      <c r="A214" s="12"/>
      <c r="B214" s="12"/>
      <c r="C214" s="12"/>
      <c r="D214" s="13" t="n">
        <f aca="false">COUNTIFS(Runs!$B:$B,$A214,Runs!$H:$H,$B214,Runs!$C:$C,"ChatGPT",Runs!$D:$D,"v2")</f>
        <v>0</v>
      </c>
      <c r="E214" s="13" t="n">
        <f aca="false">COUNTIFS(Runs!$B:$B,$A214,Runs!$H:$H,$B214,Runs!$C:$C,"Gemini",Runs!$D:$D,"v2")</f>
        <v>0</v>
      </c>
      <c r="F214" s="13" t="n">
        <f aca="false">D214+E214</f>
        <v>0</v>
      </c>
      <c r="G214" s="13" t="str">
        <f aca="false">IF(AND(D214&gt;0,E214&gt;0),"yes","no")</f>
        <v>no</v>
      </c>
      <c r="H214" s="13" t="str">
        <f aca="false">IF($B214="","",IF(AND(D214&gt;=4,E214&gt;=4),"LOCKED",IF(AND(D214&gt;=2,E214&gt;=2),"CANDIDATE",IF(F214&lt;=2,"DISCARD","WEAK"))))</f>
        <v/>
      </c>
      <c r="I214" s="14" t="str">
        <f aca="false">IFERROR(ROUND(AVERAGEIFS(Runs!$K:$K,Runs!$B:$B,$A214,Runs!$H:$H,$B214,Runs!$D:$D,"v2"),0),"")</f>
        <v/>
      </c>
      <c r="J214" s="8"/>
      <c r="K214" s="15"/>
    </row>
    <row r="215" customFormat="false" ht="15" hidden="false" customHeight="true" outlineLevel="0" collapsed="false">
      <c r="A215" s="12"/>
      <c r="B215" s="12"/>
      <c r="C215" s="12"/>
      <c r="D215" s="13" t="n">
        <f aca="false">COUNTIFS(Runs!$B:$B,$A215,Runs!$H:$H,$B215,Runs!$C:$C,"ChatGPT",Runs!$D:$D,"v2")</f>
        <v>0</v>
      </c>
      <c r="E215" s="13" t="n">
        <f aca="false">COUNTIFS(Runs!$B:$B,$A215,Runs!$H:$H,$B215,Runs!$C:$C,"Gemini",Runs!$D:$D,"v2")</f>
        <v>0</v>
      </c>
      <c r="F215" s="13" t="n">
        <f aca="false">D215+E215</f>
        <v>0</v>
      </c>
      <c r="G215" s="13" t="str">
        <f aca="false">IF(AND(D215&gt;0,E215&gt;0),"yes","no")</f>
        <v>no</v>
      </c>
      <c r="H215" s="13" t="str">
        <f aca="false">IF($B215="","",IF(AND(D215&gt;=4,E215&gt;=4),"LOCKED",IF(AND(D215&gt;=2,E215&gt;=2),"CANDIDATE",IF(F215&lt;=2,"DISCARD","WEAK"))))</f>
        <v/>
      </c>
      <c r="I215" s="14" t="str">
        <f aca="false">IFERROR(ROUND(AVERAGEIFS(Runs!$K:$K,Runs!$B:$B,$A215,Runs!$H:$H,$B215,Runs!$D:$D,"v2"),0),"")</f>
        <v/>
      </c>
      <c r="J215" s="8"/>
      <c r="K215" s="15"/>
    </row>
    <row r="216" customFormat="false" ht="15" hidden="false" customHeight="true" outlineLevel="0" collapsed="false">
      <c r="A216" s="12"/>
      <c r="B216" s="12"/>
      <c r="C216" s="12"/>
      <c r="D216" s="13" t="n">
        <f aca="false">COUNTIFS(Runs!$B:$B,$A216,Runs!$H:$H,$B216,Runs!$C:$C,"ChatGPT",Runs!$D:$D,"v2")</f>
        <v>0</v>
      </c>
      <c r="E216" s="13" t="n">
        <f aca="false">COUNTIFS(Runs!$B:$B,$A216,Runs!$H:$H,$B216,Runs!$C:$C,"Gemini",Runs!$D:$D,"v2")</f>
        <v>0</v>
      </c>
      <c r="F216" s="13" t="n">
        <f aca="false">D216+E216</f>
        <v>0</v>
      </c>
      <c r="G216" s="13" t="str">
        <f aca="false">IF(AND(D216&gt;0,E216&gt;0),"yes","no")</f>
        <v>no</v>
      </c>
      <c r="H216" s="13" t="str">
        <f aca="false">IF($B216="","",IF(AND(D216&gt;=4,E216&gt;=4),"LOCKED",IF(AND(D216&gt;=2,E216&gt;=2),"CANDIDATE",IF(F216&lt;=2,"DISCARD","WEAK"))))</f>
        <v/>
      </c>
      <c r="I216" s="14" t="str">
        <f aca="false">IFERROR(ROUND(AVERAGEIFS(Runs!$K:$K,Runs!$B:$B,$A216,Runs!$H:$H,$B216,Runs!$D:$D,"v2"),0),"")</f>
        <v/>
      </c>
      <c r="J216" s="8"/>
      <c r="K216" s="15"/>
    </row>
    <row r="217" customFormat="false" ht="15" hidden="false" customHeight="true" outlineLevel="0" collapsed="false">
      <c r="A217" s="12"/>
      <c r="B217" s="12"/>
      <c r="C217" s="12"/>
      <c r="D217" s="13" t="n">
        <f aca="false">COUNTIFS(Runs!$B:$B,$A217,Runs!$H:$H,$B217,Runs!$C:$C,"ChatGPT",Runs!$D:$D,"v2")</f>
        <v>0</v>
      </c>
      <c r="E217" s="13" t="n">
        <f aca="false">COUNTIFS(Runs!$B:$B,$A217,Runs!$H:$H,$B217,Runs!$C:$C,"Gemini",Runs!$D:$D,"v2")</f>
        <v>0</v>
      </c>
      <c r="F217" s="13" t="n">
        <f aca="false">D217+E217</f>
        <v>0</v>
      </c>
      <c r="G217" s="13" t="str">
        <f aca="false">IF(AND(D217&gt;0,E217&gt;0),"yes","no")</f>
        <v>no</v>
      </c>
      <c r="H217" s="13" t="str">
        <f aca="false">IF($B217="","",IF(AND(D217&gt;=4,E217&gt;=4),"LOCKED",IF(AND(D217&gt;=2,E217&gt;=2),"CANDIDATE",IF(F217&lt;=2,"DISCARD","WEAK"))))</f>
        <v/>
      </c>
      <c r="I217" s="14" t="str">
        <f aca="false">IFERROR(ROUND(AVERAGEIFS(Runs!$K:$K,Runs!$B:$B,$A217,Runs!$H:$H,$B217,Runs!$D:$D,"v2"),0),"")</f>
        <v/>
      </c>
      <c r="J217" s="8"/>
      <c r="K217" s="15"/>
    </row>
    <row r="218" customFormat="false" ht="15" hidden="false" customHeight="true" outlineLevel="0" collapsed="false">
      <c r="A218" s="12"/>
      <c r="B218" s="12"/>
      <c r="C218" s="12"/>
      <c r="D218" s="13" t="n">
        <f aca="false">COUNTIFS(Runs!$B:$B,$A218,Runs!$H:$H,$B218,Runs!$C:$C,"ChatGPT",Runs!$D:$D,"v2")</f>
        <v>0</v>
      </c>
      <c r="E218" s="13" t="n">
        <f aca="false">COUNTIFS(Runs!$B:$B,$A218,Runs!$H:$H,$B218,Runs!$C:$C,"Gemini",Runs!$D:$D,"v2")</f>
        <v>0</v>
      </c>
      <c r="F218" s="13" t="n">
        <f aca="false">D218+E218</f>
        <v>0</v>
      </c>
      <c r="G218" s="13" t="str">
        <f aca="false">IF(AND(D218&gt;0,E218&gt;0),"yes","no")</f>
        <v>no</v>
      </c>
      <c r="H218" s="13" t="str">
        <f aca="false">IF($B218="","",IF(AND(D218&gt;=4,E218&gt;=4),"LOCKED",IF(AND(D218&gt;=2,E218&gt;=2),"CANDIDATE",IF(F218&lt;=2,"DISCARD","WEAK"))))</f>
        <v/>
      </c>
      <c r="I218" s="14" t="str">
        <f aca="false">IFERROR(ROUND(AVERAGEIFS(Runs!$K:$K,Runs!$B:$B,$A218,Runs!$H:$H,$B218,Runs!$D:$D,"v2"),0),"")</f>
        <v/>
      </c>
      <c r="J218" s="8"/>
      <c r="K218" s="15"/>
    </row>
    <row r="219" customFormat="false" ht="15" hidden="false" customHeight="true" outlineLevel="0" collapsed="false">
      <c r="A219" s="12"/>
      <c r="B219" s="12"/>
      <c r="C219" s="12"/>
      <c r="D219" s="13" t="n">
        <f aca="false">COUNTIFS(Runs!$B:$B,$A219,Runs!$H:$H,$B219,Runs!$C:$C,"ChatGPT",Runs!$D:$D,"v2")</f>
        <v>0</v>
      </c>
      <c r="E219" s="13" t="n">
        <f aca="false">COUNTIFS(Runs!$B:$B,$A219,Runs!$H:$H,$B219,Runs!$C:$C,"Gemini",Runs!$D:$D,"v2")</f>
        <v>0</v>
      </c>
      <c r="F219" s="13" t="n">
        <f aca="false">D219+E219</f>
        <v>0</v>
      </c>
      <c r="G219" s="13" t="str">
        <f aca="false">IF(AND(D219&gt;0,E219&gt;0),"yes","no")</f>
        <v>no</v>
      </c>
      <c r="H219" s="13" t="str">
        <f aca="false">IF($B219="","",IF(AND(D219&gt;=4,E219&gt;=4),"LOCKED",IF(AND(D219&gt;=2,E219&gt;=2),"CANDIDATE",IF(F219&lt;=2,"DISCARD","WEAK"))))</f>
        <v/>
      </c>
      <c r="I219" s="14" t="str">
        <f aca="false">IFERROR(ROUND(AVERAGEIFS(Runs!$K:$K,Runs!$B:$B,$A219,Runs!$H:$H,$B219,Runs!$D:$D,"v2"),0),"")</f>
        <v/>
      </c>
      <c r="J219" s="8"/>
      <c r="K219" s="15"/>
    </row>
    <row r="220" customFormat="false" ht="15" hidden="false" customHeight="true" outlineLevel="0" collapsed="false">
      <c r="A220" s="12"/>
      <c r="B220" s="12"/>
      <c r="C220" s="12"/>
      <c r="D220" s="13" t="n">
        <f aca="false">COUNTIFS(Runs!$B:$B,$A220,Runs!$H:$H,$B220,Runs!$C:$C,"ChatGPT",Runs!$D:$D,"v2")</f>
        <v>0</v>
      </c>
      <c r="E220" s="13" t="n">
        <f aca="false">COUNTIFS(Runs!$B:$B,$A220,Runs!$H:$H,$B220,Runs!$C:$C,"Gemini",Runs!$D:$D,"v2")</f>
        <v>0</v>
      </c>
      <c r="F220" s="13" t="n">
        <f aca="false">D220+E220</f>
        <v>0</v>
      </c>
      <c r="G220" s="13" t="str">
        <f aca="false">IF(AND(D220&gt;0,E220&gt;0),"yes","no")</f>
        <v>no</v>
      </c>
      <c r="H220" s="13" t="str">
        <f aca="false">IF($B220="","",IF(AND(D220&gt;=4,E220&gt;=4),"LOCKED",IF(AND(D220&gt;=2,E220&gt;=2),"CANDIDATE",IF(F220&lt;=2,"DISCARD","WEAK"))))</f>
        <v/>
      </c>
      <c r="I220" s="14" t="str">
        <f aca="false">IFERROR(ROUND(AVERAGEIFS(Runs!$K:$K,Runs!$B:$B,$A220,Runs!$H:$H,$B220,Runs!$D:$D,"v2"),0),"")</f>
        <v/>
      </c>
      <c r="J220" s="8"/>
      <c r="K220" s="15"/>
    </row>
    <row r="221" customFormat="false" ht="15" hidden="false" customHeight="true" outlineLevel="0" collapsed="false">
      <c r="A221" s="12"/>
      <c r="B221" s="12"/>
      <c r="C221" s="12"/>
      <c r="D221" s="13" t="n">
        <f aca="false">COUNTIFS(Runs!$B:$B,$A221,Runs!$H:$H,$B221,Runs!$C:$C,"ChatGPT",Runs!$D:$D,"v2")</f>
        <v>0</v>
      </c>
      <c r="E221" s="13" t="n">
        <f aca="false">COUNTIFS(Runs!$B:$B,$A221,Runs!$H:$H,$B221,Runs!$C:$C,"Gemini",Runs!$D:$D,"v2")</f>
        <v>0</v>
      </c>
      <c r="F221" s="13" t="n">
        <f aca="false">D221+E221</f>
        <v>0</v>
      </c>
      <c r="G221" s="13" t="str">
        <f aca="false">IF(AND(D221&gt;0,E221&gt;0),"yes","no")</f>
        <v>no</v>
      </c>
      <c r="H221" s="13" t="str">
        <f aca="false">IF($B221="","",IF(AND(D221&gt;=4,E221&gt;=4),"LOCKED",IF(AND(D221&gt;=2,E221&gt;=2),"CANDIDATE",IF(F221&lt;=2,"DISCARD","WEAK"))))</f>
        <v/>
      </c>
      <c r="I221" s="14" t="str">
        <f aca="false">IFERROR(ROUND(AVERAGEIFS(Runs!$K:$K,Runs!$B:$B,$A221,Runs!$H:$H,$B221,Runs!$D:$D,"v2"),0),"")</f>
        <v/>
      </c>
      <c r="J221" s="8"/>
      <c r="K221" s="15"/>
    </row>
    <row r="222" customFormat="false" ht="15" hidden="false" customHeight="true" outlineLevel="0" collapsed="false">
      <c r="A222" s="12"/>
      <c r="B222" s="12"/>
      <c r="C222" s="12"/>
      <c r="D222" s="13" t="n">
        <f aca="false">COUNTIFS(Runs!$B:$B,$A222,Runs!$H:$H,$B222,Runs!$C:$C,"ChatGPT",Runs!$D:$D,"v2")</f>
        <v>0</v>
      </c>
      <c r="E222" s="13" t="n">
        <f aca="false">COUNTIFS(Runs!$B:$B,$A222,Runs!$H:$H,$B222,Runs!$C:$C,"Gemini",Runs!$D:$D,"v2")</f>
        <v>0</v>
      </c>
      <c r="F222" s="13" t="n">
        <f aca="false">D222+E222</f>
        <v>0</v>
      </c>
      <c r="G222" s="13" t="str">
        <f aca="false">IF(AND(D222&gt;0,E222&gt;0),"yes","no")</f>
        <v>no</v>
      </c>
      <c r="H222" s="13" t="str">
        <f aca="false">IF($B222="","",IF(AND(D222&gt;=4,E222&gt;=4),"LOCKED",IF(AND(D222&gt;=2,E222&gt;=2),"CANDIDATE",IF(F222&lt;=2,"DISCARD","WEAK"))))</f>
        <v/>
      </c>
      <c r="I222" s="14" t="str">
        <f aca="false">IFERROR(ROUND(AVERAGEIFS(Runs!$K:$K,Runs!$B:$B,$A222,Runs!$H:$H,$B222,Runs!$D:$D,"v2"),0),"")</f>
        <v/>
      </c>
      <c r="J222" s="8"/>
      <c r="K222" s="15"/>
    </row>
    <row r="223" customFormat="false" ht="15" hidden="false" customHeight="true" outlineLevel="0" collapsed="false">
      <c r="A223" s="12"/>
      <c r="B223" s="12"/>
      <c r="C223" s="12"/>
      <c r="D223" s="13" t="n">
        <f aca="false">COUNTIFS(Runs!$B:$B,$A223,Runs!$H:$H,$B223,Runs!$C:$C,"ChatGPT",Runs!$D:$D,"v2")</f>
        <v>0</v>
      </c>
      <c r="E223" s="13" t="n">
        <f aca="false">COUNTIFS(Runs!$B:$B,$A223,Runs!$H:$H,$B223,Runs!$C:$C,"Gemini",Runs!$D:$D,"v2")</f>
        <v>0</v>
      </c>
      <c r="F223" s="13" t="n">
        <f aca="false">D223+E223</f>
        <v>0</v>
      </c>
      <c r="G223" s="13" t="str">
        <f aca="false">IF(AND(D223&gt;0,E223&gt;0),"yes","no")</f>
        <v>no</v>
      </c>
      <c r="H223" s="13" t="str">
        <f aca="false">IF($B223="","",IF(AND(D223&gt;=4,E223&gt;=4),"LOCKED",IF(AND(D223&gt;=2,E223&gt;=2),"CANDIDATE",IF(F223&lt;=2,"DISCARD","WEAK"))))</f>
        <v/>
      </c>
      <c r="I223" s="14" t="str">
        <f aca="false">IFERROR(ROUND(AVERAGEIFS(Runs!$K:$K,Runs!$B:$B,$A223,Runs!$H:$H,$B223,Runs!$D:$D,"v2"),0),"")</f>
        <v/>
      </c>
      <c r="J223" s="8"/>
      <c r="K223" s="15"/>
    </row>
    <row r="224" customFormat="false" ht="15" hidden="false" customHeight="true" outlineLevel="0" collapsed="false">
      <c r="A224" s="12"/>
      <c r="B224" s="12"/>
      <c r="C224" s="12"/>
      <c r="D224" s="13" t="n">
        <f aca="false">COUNTIFS(Runs!$B:$B,$A224,Runs!$H:$H,$B224,Runs!$C:$C,"ChatGPT",Runs!$D:$D,"v2")</f>
        <v>0</v>
      </c>
      <c r="E224" s="13" t="n">
        <f aca="false">COUNTIFS(Runs!$B:$B,$A224,Runs!$H:$H,$B224,Runs!$C:$C,"Gemini",Runs!$D:$D,"v2")</f>
        <v>0</v>
      </c>
      <c r="F224" s="13" t="n">
        <f aca="false">D224+E224</f>
        <v>0</v>
      </c>
      <c r="G224" s="13" t="str">
        <f aca="false">IF(AND(D224&gt;0,E224&gt;0),"yes","no")</f>
        <v>no</v>
      </c>
      <c r="H224" s="13" t="str">
        <f aca="false">IF($B224="","",IF(AND(D224&gt;=4,E224&gt;=4),"LOCKED",IF(AND(D224&gt;=2,E224&gt;=2),"CANDIDATE",IF(F224&lt;=2,"DISCARD","WEAK"))))</f>
        <v/>
      </c>
      <c r="I224" s="14" t="str">
        <f aca="false">IFERROR(ROUND(AVERAGEIFS(Runs!$K:$K,Runs!$B:$B,$A224,Runs!$H:$H,$B224,Runs!$D:$D,"v2"),0),"")</f>
        <v/>
      </c>
      <c r="J224" s="8"/>
      <c r="K224" s="15"/>
    </row>
    <row r="225" customFormat="false" ht="15" hidden="false" customHeight="true" outlineLevel="0" collapsed="false">
      <c r="A225" s="12"/>
      <c r="B225" s="12"/>
      <c r="C225" s="12"/>
      <c r="D225" s="13" t="n">
        <f aca="false">COUNTIFS(Runs!$B:$B,$A225,Runs!$H:$H,$B225,Runs!$C:$C,"ChatGPT",Runs!$D:$D,"v2")</f>
        <v>0</v>
      </c>
      <c r="E225" s="13" t="n">
        <f aca="false">COUNTIFS(Runs!$B:$B,$A225,Runs!$H:$H,$B225,Runs!$C:$C,"Gemini",Runs!$D:$D,"v2")</f>
        <v>0</v>
      </c>
      <c r="F225" s="13" t="n">
        <f aca="false">D225+E225</f>
        <v>0</v>
      </c>
      <c r="G225" s="13" t="str">
        <f aca="false">IF(AND(D225&gt;0,E225&gt;0),"yes","no")</f>
        <v>no</v>
      </c>
      <c r="H225" s="13" t="str">
        <f aca="false">IF($B225="","",IF(AND(D225&gt;=4,E225&gt;=4),"LOCKED",IF(AND(D225&gt;=2,E225&gt;=2),"CANDIDATE",IF(F225&lt;=2,"DISCARD","WEAK"))))</f>
        <v/>
      </c>
      <c r="I225" s="14" t="str">
        <f aca="false">IFERROR(ROUND(AVERAGEIFS(Runs!$K:$K,Runs!$B:$B,$A225,Runs!$H:$H,$B225,Runs!$D:$D,"v2"),0),"")</f>
        <v/>
      </c>
      <c r="J225" s="8"/>
      <c r="K225" s="15"/>
    </row>
    <row r="226" customFormat="false" ht="15" hidden="false" customHeight="true" outlineLevel="0" collapsed="false">
      <c r="A226" s="12"/>
      <c r="B226" s="12"/>
      <c r="C226" s="12"/>
      <c r="D226" s="13" t="n">
        <f aca="false">COUNTIFS(Runs!$B:$B,$A226,Runs!$H:$H,$B226,Runs!$C:$C,"ChatGPT",Runs!$D:$D,"v2")</f>
        <v>0</v>
      </c>
      <c r="E226" s="13" t="n">
        <f aca="false">COUNTIFS(Runs!$B:$B,$A226,Runs!$H:$H,$B226,Runs!$C:$C,"Gemini",Runs!$D:$D,"v2")</f>
        <v>0</v>
      </c>
      <c r="F226" s="13" t="n">
        <f aca="false">D226+E226</f>
        <v>0</v>
      </c>
      <c r="G226" s="13" t="str">
        <f aca="false">IF(AND(D226&gt;0,E226&gt;0),"yes","no")</f>
        <v>no</v>
      </c>
      <c r="H226" s="13" t="str">
        <f aca="false">IF($B226="","",IF(AND(D226&gt;=4,E226&gt;=4),"LOCKED",IF(AND(D226&gt;=2,E226&gt;=2),"CANDIDATE",IF(F226&lt;=2,"DISCARD","WEAK"))))</f>
        <v/>
      </c>
      <c r="I226" s="14" t="str">
        <f aca="false">IFERROR(ROUND(AVERAGEIFS(Runs!$K:$K,Runs!$B:$B,$A226,Runs!$H:$H,$B226,Runs!$D:$D,"v2"),0),"")</f>
        <v/>
      </c>
      <c r="J226" s="8"/>
      <c r="K226" s="15"/>
    </row>
    <row r="227" customFormat="false" ht="15" hidden="false" customHeight="true" outlineLevel="0" collapsed="false">
      <c r="A227" s="12"/>
      <c r="B227" s="12"/>
      <c r="C227" s="12"/>
      <c r="D227" s="13" t="n">
        <f aca="false">COUNTIFS(Runs!$B:$B,$A227,Runs!$H:$H,$B227,Runs!$C:$C,"ChatGPT",Runs!$D:$D,"v2")</f>
        <v>0</v>
      </c>
      <c r="E227" s="13" t="n">
        <f aca="false">COUNTIFS(Runs!$B:$B,$A227,Runs!$H:$H,$B227,Runs!$C:$C,"Gemini",Runs!$D:$D,"v2")</f>
        <v>0</v>
      </c>
      <c r="F227" s="13" t="n">
        <f aca="false">D227+E227</f>
        <v>0</v>
      </c>
      <c r="G227" s="13" t="str">
        <f aca="false">IF(AND(D227&gt;0,E227&gt;0),"yes","no")</f>
        <v>no</v>
      </c>
      <c r="H227" s="13" t="str">
        <f aca="false">IF($B227="","",IF(AND(D227&gt;=4,E227&gt;=4),"LOCKED",IF(AND(D227&gt;=2,E227&gt;=2),"CANDIDATE",IF(F227&lt;=2,"DISCARD","WEAK"))))</f>
        <v/>
      </c>
      <c r="I227" s="14" t="str">
        <f aca="false">IFERROR(ROUND(AVERAGEIFS(Runs!$K:$K,Runs!$B:$B,$A227,Runs!$H:$H,$B227,Runs!$D:$D,"v2"),0),"")</f>
        <v/>
      </c>
      <c r="J227" s="8"/>
      <c r="K227" s="15"/>
    </row>
    <row r="228" customFormat="false" ht="15" hidden="false" customHeight="true" outlineLevel="0" collapsed="false">
      <c r="A228" s="12"/>
      <c r="B228" s="12"/>
      <c r="C228" s="12"/>
      <c r="D228" s="13" t="n">
        <f aca="false">COUNTIFS(Runs!$B:$B,$A228,Runs!$H:$H,$B228,Runs!$C:$C,"ChatGPT",Runs!$D:$D,"v2")</f>
        <v>0</v>
      </c>
      <c r="E228" s="13" t="n">
        <f aca="false">COUNTIFS(Runs!$B:$B,$A228,Runs!$H:$H,$B228,Runs!$C:$C,"Gemini",Runs!$D:$D,"v2")</f>
        <v>0</v>
      </c>
      <c r="F228" s="13" t="n">
        <f aca="false">D228+E228</f>
        <v>0</v>
      </c>
      <c r="G228" s="13" t="str">
        <f aca="false">IF(AND(D228&gt;0,E228&gt;0),"yes","no")</f>
        <v>no</v>
      </c>
      <c r="H228" s="13" t="str">
        <f aca="false">IF($B228="","",IF(AND(D228&gt;=4,E228&gt;=4),"LOCKED",IF(AND(D228&gt;=2,E228&gt;=2),"CANDIDATE",IF(F228&lt;=2,"DISCARD","WEAK"))))</f>
        <v/>
      </c>
      <c r="I228" s="14" t="str">
        <f aca="false">IFERROR(ROUND(AVERAGEIFS(Runs!$K:$K,Runs!$B:$B,$A228,Runs!$H:$H,$B228,Runs!$D:$D,"v2"),0),"")</f>
        <v/>
      </c>
      <c r="J228" s="8"/>
      <c r="K228" s="15"/>
    </row>
    <row r="229" customFormat="false" ht="15" hidden="false" customHeight="true" outlineLevel="0" collapsed="false">
      <c r="A229" s="12"/>
      <c r="B229" s="12"/>
      <c r="C229" s="12"/>
      <c r="D229" s="13" t="n">
        <f aca="false">COUNTIFS(Runs!$B:$B,$A229,Runs!$H:$H,$B229,Runs!$C:$C,"ChatGPT",Runs!$D:$D,"v2")</f>
        <v>0</v>
      </c>
      <c r="E229" s="13" t="n">
        <f aca="false">COUNTIFS(Runs!$B:$B,$A229,Runs!$H:$H,$B229,Runs!$C:$C,"Gemini",Runs!$D:$D,"v2")</f>
        <v>0</v>
      </c>
      <c r="F229" s="13" t="n">
        <f aca="false">D229+E229</f>
        <v>0</v>
      </c>
      <c r="G229" s="13" t="str">
        <f aca="false">IF(AND(D229&gt;0,E229&gt;0),"yes","no")</f>
        <v>no</v>
      </c>
      <c r="H229" s="13" t="str">
        <f aca="false">IF($B229="","",IF(AND(D229&gt;=4,E229&gt;=4),"LOCKED",IF(AND(D229&gt;=2,E229&gt;=2),"CANDIDATE",IF(F229&lt;=2,"DISCARD","WEAK"))))</f>
        <v/>
      </c>
      <c r="I229" s="14" t="str">
        <f aca="false">IFERROR(ROUND(AVERAGEIFS(Runs!$K:$K,Runs!$B:$B,$A229,Runs!$H:$H,$B229,Runs!$D:$D,"v2"),0),"")</f>
        <v/>
      </c>
      <c r="J229" s="8"/>
      <c r="K229" s="15"/>
    </row>
    <row r="230" customFormat="false" ht="15" hidden="false" customHeight="true" outlineLevel="0" collapsed="false">
      <c r="A230" s="12"/>
      <c r="B230" s="12"/>
      <c r="C230" s="12"/>
      <c r="D230" s="13" t="n">
        <f aca="false">COUNTIFS(Runs!$B:$B,$A230,Runs!$H:$H,$B230,Runs!$C:$C,"ChatGPT",Runs!$D:$D,"v2")</f>
        <v>0</v>
      </c>
      <c r="E230" s="13" t="n">
        <f aca="false">COUNTIFS(Runs!$B:$B,$A230,Runs!$H:$H,$B230,Runs!$C:$C,"Gemini",Runs!$D:$D,"v2")</f>
        <v>0</v>
      </c>
      <c r="F230" s="13" t="n">
        <f aca="false">D230+E230</f>
        <v>0</v>
      </c>
      <c r="G230" s="13" t="str">
        <f aca="false">IF(AND(D230&gt;0,E230&gt;0),"yes","no")</f>
        <v>no</v>
      </c>
      <c r="H230" s="13" t="str">
        <f aca="false">IF($B230="","",IF(AND(D230&gt;=4,E230&gt;=4),"LOCKED",IF(AND(D230&gt;=2,E230&gt;=2),"CANDIDATE",IF(F230&lt;=2,"DISCARD","WEAK"))))</f>
        <v/>
      </c>
      <c r="I230" s="14" t="str">
        <f aca="false">IFERROR(ROUND(AVERAGEIFS(Runs!$K:$K,Runs!$B:$B,$A230,Runs!$H:$H,$B230,Runs!$D:$D,"v2"),0),"")</f>
        <v/>
      </c>
      <c r="J230" s="8"/>
      <c r="K230" s="15"/>
    </row>
    <row r="231" customFormat="false" ht="15" hidden="false" customHeight="true" outlineLevel="0" collapsed="false">
      <c r="A231" s="12"/>
      <c r="B231" s="12"/>
      <c r="C231" s="12"/>
      <c r="D231" s="13" t="n">
        <f aca="false">COUNTIFS(Runs!$B:$B,$A231,Runs!$H:$H,$B231,Runs!$C:$C,"ChatGPT",Runs!$D:$D,"v2")</f>
        <v>0</v>
      </c>
      <c r="E231" s="13" t="n">
        <f aca="false">COUNTIFS(Runs!$B:$B,$A231,Runs!$H:$H,$B231,Runs!$C:$C,"Gemini",Runs!$D:$D,"v2")</f>
        <v>0</v>
      </c>
      <c r="F231" s="13" t="n">
        <f aca="false">D231+E231</f>
        <v>0</v>
      </c>
      <c r="G231" s="13" t="str">
        <f aca="false">IF(AND(D231&gt;0,E231&gt;0),"yes","no")</f>
        <v>no</v>
      </c>
      <c r="H231" s="13" t="str">
        <f aca="false">IF($B231="","",IF(AND(D231&gt;=4,E231&gt;=4),"LOCKED",IF(AND(D231&gt;=2,E231&gt;=2),"CANDIDATE",IF(F231&lt;=2,"DISCARD","WEAK"))))</f>
        <v/>
      </c>
      <c r="I231" s="14" t="str">
        <f aca="false">IFERROR(ROUND(AVERAGEIFS(Runs!$K:$K,Runs!$B:$B,$A231,Runs!$H:$H,$B231,Runs!$D:$D,"v2"),0),"")</f>
        <v/>
      </c>
      <c r="J231" s="8"/>
      <c r="K231" s="15"/>
    </row>
    <row r="232" customFormat="false" ht="15" hidden="false" customHeight="true" outlineLevel="0" collapsed="false">
      <c r="A232" s="12"/>
      <c r="B232" s="12"/>
      <c r="C232" s="12"/>
      <c r="D232" s="13" t="n">
        <f aca="false">COUNTIFS(Runs!$B:$B,$A232,Runs!$H:$H,$B232,Runs!$C:$C,"ChatGPT",Runs!$D:$D,"v2")</f>
        <v>0</v>
      </c>
      <c r="E232" s="13" t="n">
        <f aca="false">COUNTIFS(Runs!$B:$B,$A232,Runs!$H:$H,$B232,Runs!$C:$C,"Gemini",Runs!$D:$D,"v2")</f>
        <v>0</v>
      </c>
      <c r="F232" s="13" t="n">
        <f aca="false">D232+E232</f>
        <v>0</v>
      </c>
      <c r="G232" s="13" t="str">
        <f aca="false">IF(AND(D232&gt;0,E232&gt;0),"yes","no")</f>
        <v>no</v>
      </c>
      <c r="H232" s="13" t="str">
        <f aca="false">IF($B232="","",IF(AND(D232&gt;=4,E232&gt;=4),"LOCKED",IF(AND(D232&gt;=2,E232&gt;=2),"CANDIDATE",IF(F232&lt;=2,"DISCARD","WEAK"))))</f>
        <v/>
      </c>
      <c r="I232" s="14" t="str">
        <f aca="false">IFERROR(ROUND(AVERAGEIFS(Runs!$K:$K,Runs!$B:$B,$A232,Runs!$H:$H,$B232,Runs!$D:$D,"v2"),0),"")</f>
        <v/>
      </c>
      <c r="J232" s="8"/>
      <c r="K232" s="15"/>
    </row>
    <row r="233" customFormat="false" ht="15" hidden="false" customHeight="true" outlineLevel="0" collapsed="false">
      <c r="A233" s="12"/>
      <c r="B233" s="12"/>
      <c r="C233" s="12"/>
      <c r="D233" s="13" t="n">
        <f aca="false">COUNTIFS(Runs!$B:$B,$A233,Runs!$H:$H,$B233,Runs!$C:$C,"ChatGPT",Runs!$D:$D,"v2")</f>
        <v>0</v>
      </c>
      <c r="E233" s="13" t="n">
        <f aca="false">COUNTIFS(Runs!$B:$B,$A233,Runs!$H:$H,$B233,Runs!$C:$C,"Gemini",Runs!$D:$D,"v2")</f>
        <v>0</v>
      </c>
      <c r="F233" s="13" t="n">
        <f aca="false">D233+E233</f>
        <v>0</v>
      </c>
      <c r="G233" s="13" t="str">
        <f aca="false">IF(AND(D233&gt;0,E233&gt;0),"yes","no")</f>
        <v>no</v>
      </c>
      <c r="H233" s="13" t="str">
        <f aca="false">IF($B233="","",IF(AND(D233&gt;=4,E233&gt;=4),"LOCKED",IF(AND(D233&gt;=2,E233&gt;=2),"CANDIDATE",IF(F233&lt;=2,"DISCARD","WEAK"))))</f>
        <v/>
      </c>
      <c r="I233" s="14" t="str">
        <f aca="false">IFERROR(ROUND(AVERAGEIFS(Runs!$K:$K,Runs!$B:$B,$A233,Runs!$H:$H,$B233,Runs!$D:$D,"v2"),0),"")</f>
        <v/>
      </c>
      <c r="J233" s="8"/>
      <c r="K233" s="15"/>
    </row>
    <row r="234" customFormat="false" ht="15" hidden="false" customHeight="true" outlineLevel="0" collapsed="false">
      <c r="A234" s="12"/>
      <c r="B234" s="12"/>
      <c r="C234" s="12"/>
      <c r="D234" s="13" t="n">
        <f aca="false">COUNTIFS(Runs!$B:$B,$A234,Runs!$H:$H,$B234,Runs!$C:$C,"ChatGPT",Runs!$D:$D,"v2")</f>
        <v>0</v>
      </c>
      <c r="E234" s="13" t="n">
        <f aca="false">COUNTIFS(Runs!$B:$B,$A234,Runs!$H:$H,$B234,Runs!$C:$C,"Gemini",Runs!$D:$D,"v2")</f>
        <v>0</v>
      </c>
      <c r="F234" s="13" t="n">
        <f aca="false">D234+E234</f>
        <v>0</v>
      </c>
      <c r="G234" s="13" t="str">
        <f aca="false">IF(AND(D234&gt;0,E234&gt;0),"yes","no")</f>
        <v>no</v>
      </c>
      <c r="H234" s="13" t="str">
        <f aca="false">IF($B234="","",IF(AND(D234&gt;=4,E234&gt;=4),"LOCKED",IF(AND(D234&gt;=2,E234&gt;=2),"CANDIDATE",IF(F234&lt;=2,"DISCARD","WEAK"))))</f>
        <v/>
      </c>
      <c r="I234" s="14" t="str">
        <f aca="false">IFERROR(ROUND(AVERAGEIFS(Runs!$K:$K,Runs!$B:$B,$A234,Runs!$H:$H,$B234,Runs!$D:$D,"v2"),0),"")</f>
        <v/>
      </c>
      <c r="J234" s="8"/>
      <c r="K234" s="15"/>
    </row>
    <row r="235" customFormat="false" ht="15" hidden="false" customHeight="true" outlineLevel="0" collapsed="false">
      <c r="A235" s="12"/>
      <c r="B235" s="12"/>
      <c r="C235" s="12"/>
      <c r="D235" s="13" t="n">
        <f aca="false">COUNTIFS(Runs!$B:$B,$A235,Runs!$H:$H,$B235,Runs!$C:$C,"ChatGPT",Runs!$D:$D,"v2")</f>
        <v>0</v>
      </c>
      <c r="E235" s="13" t="n">
        <f aca="false">COUNTIFS(Runs!$B:$B,$A235,Runs!$H:$H,$B235,Runs!$C:$C,"Gemini",Runs!$D:$D,"v2")</f>
        <v>0</v>
      </c>
      <c r="F235" s="13" t="n">
        <f aca="false">D235+E235</f>
        <v>0</v>
      </c>
      <c r="G235" s="13" t="str">
        <f aca="false">IF(AND(D235&gt;0,E235&gt;0),"yes","no")</f>
        <v>no</v>
      </c>
      <c r="H235" s="13" t="str">
        <f aca="false">IF($B235="","",IF(AND(D235&gt;=4,E235&gt;=4),"LOCKED",IF(AND(D235&gt;=2,E235&gt;=2),"CANDIDATE",IF(F235&lt;=2,"DISCARD","WEAK"))))</f>
        <v/>
      </c>
      <c r="I235" s="14" t="str">
        <f aca="false">IFERROR(ROUND(AVERAGEIFS(Runs!$K:$K,Runs!$B:$B,$A235,Runs!$H:$H,$B235,Runs!$D:$D,"v2"),0),"")</f>
        <v/>
      </c>
      <c r="J235" s="8"/>
      <c r="K235" s="15"/>
    </row>
    <row r="236" customFormat="false" ht="15" hidden="false" customHeight="true" outlineLevel="0" collapsed="false">
      <c r="A236" s="12"/>
      <c r="B236" s="12"/>
      <c r="C236" s="12"/>
      <c r="D236" s="13" t="n">
        <f aca="false">COUNTIFS(Runs!$B:$B,$A236,Runs!$H:$H,$B236,Runs!$C:$C,"ChatGPT",Runs!$D:$D,"v2")</f>
        <v>0</v>
      </c>
      <c r="E236" s="13" t="n">
        <f aca="false">COUNTIFS(Runs!$B:$B,$A236,Runs!$H:$H,$B236,Runs!$C:$C,"Gemini",Runs!$D:$D,"v2")</f>
        <v>0</v>
      </c>
      <c r="F236" s="13" t="n">
        <f aca="false">D236+E236</f>
        <v>0</v>
      </c>
      <c r="G236" s="13" t="str">
        <f aca="false">IF(AND(D236&gt;0,E236&gt;0),"yes","no")</f>
        <v>no</v>
      </c>
      <c r="H236" s="13" t="str">
        <f aca="false">IF($B236="","",IF(AND(D236&gt;=4,E236&gt;=4),"LOCKED",IF(AND(D236&gt;=2,E236&gt;=2),"CANDIDATE",IF(F236&lt;=2,"DISCARD","WEAK"))))</f>
        <v/>
      </c>
      <c r="I236" s="14" t="str">
        <f aca="false">IFERROR(ROUND(AVERAGEIFS(Runs!$K:$K,Runs!$B:$B,$A236,Runs!$H:$H,$B236,Runs!$D:$D,"v2"),0),"")</f>
        <v/>
      </c>
      <c r="J236" s="8"/>
      <c r="K236" s="15"/>
    </row>
    <row r="237" customFormat="false" ht="15" hidden="false" customHeight="true" outlineLevel="0" collapsed="false">
      <c r="A237" s="12"/>
      <c r="B237" s="12"/>
      <c r="C237" s="12"/>
      <c r="D237" s="13" t="n">
        <f aca="false">COUNTIFS(Runs!$B:$B,$A237,Runs!$H:$H,$B237,Runs!$C:$C,"ChatGPT",Runs!$D:$D,"v2")</f>
        <v>0</v>
      </c>
      <c r="E237" s="13" t="n">
        <f aca="false">COUNTIFS(Runs!$B:$B,$A237,Runs!$H:$H,$B237,Runs!$C:$C,"Gemini",Runs!$D:$D,"v2")</f>
        <v>0</v>
      </c>
      <c r="F237" s="13" t="n">
        <f aca="false">D237+E237</f>
        <v>0</v>
      </c>
      <c r="G237" s="13" t="str">
        <f aca="false">IF(AND(D237&gt;0,E237&gt;0),"yes","no")</f>
        <v>no</v>
      </c>
      <c r="H237" s="13" t="str">
        <f aca="false">IF($B237="","",IF(AND(D237&gt;=4,E237&gt;=4),"LOCKED",IF(AND(D237&gt;=2,E237&gt;=2),"CANDIDATE",IF(F237&lt;=2,"DISCARD","WEAK"))))</f>
        <v/>
      </c>
      <c r="I237" s="14" t="str">
        <f aca="false">IFERROR(ROUND(AVERAGEIFS(Runs!$K:$K,Runs!$B:$B,$A237,Runs!$H:$H,$B237,Runs!$D:$D,"v2"),0),"")</f>
        <v/>
      </c>
      <c r="J237" s="8"/>
      <c r="K237" s="15"/>
    </row>
    <row r="238" customFormat="false" ht="15" hidden="false" customHeight="true" outlineLevel="0" collapsed="false">
      <c r="A238" s="12"/>
      <c r="B238" s="12"/>
      <c r="C238" s="12"/>
      <c r="D238" s="13" t="n">
        <f aca="false">COUNTIFS(Runs!$B:$B,$A238,Runs!$H:$H,$B238,Runs!$C:$C,"ChatGPT",Runs!$D:$D,"v2")</f>
        <v>0</v>
      </c>
      <c r="E238" s="13" t="n">
        <f aca="false">COUNTIFS(Runs!$B:$B,$A238,Runs!$H:$H,$B238,Runs!$C:$C,"Gemini",Runs!$D:$D,"v2")</f>
        <v>0</v>
      </c>
      <c r="F238" s="13" t="n">
        <f aca="false">D238+E238</f>
        <v>0</v>
      </c>
      <c r="G238" s="13" t="str">
        <f aca="false">IF(AND(D238&gt;0,E238&gt;0),"yes","no")</f>
        <v>no</v>
      </c>
      <c r="H238" s="13" t="str">
        <f aca="false">IF($B238="","",IF(AND(D238&gt;=4,E238&gt;=4),"LOCKED",IF(AND(D238&gt;=2,E238&gt;=2),"CANDIDATE",IF(F238&lt;=2,"DISCARD","WEAK"))))</f>
        <v/>
      </c>
      <c r="I238" s="14" t="str">
        <f aca="false">IFERROR(ROUND(AVERAGEIFS(Runs!$K:$K,Runs!$B:$B,$A238,Runs!$H:$H,$B238,Runs!$D:$D,"v2"),0),"")</f>
        <v/>
      </c>
      <c r="J238" s="8"/>
      <c r="K238" s="15"/>
    </row>
    <row r="239" customFormat="false" ht="15" hidden="false" customHeight="true" outlineLevel="0" collapsed="false">
      <c r="A239" s="12"/>
      <c r="B239" s="12"/>
      <c r="C239" s="12"/>
      <c r="D239" s="13" t="n">
        <f aca="false">COUNTIFS(Runs!$B:$B,$A239,Runs!$H:$H,$B239,Runs!$C:$C,"ChatGPT",Runs!$D:$D,"v2")</f>
        <v>0</v>
      </c>
      <c r="E239" s="13" t="n">
        <f aca="false">COUNTIFS(Runs!$B:$B,$A239,Runs!$H:$H,$B239,Runs!$C:$C,"Gemini",Runs!$D:$D,"v2")</f>
        <v>0</v>
      </c>
      <c r="F239" s="13" t="n">
        <f aca="false">D239+E239</f>
        <v>0</v>
      </c>
      <c r="G239" s="13" t="str">
        <f aca="false">IF(AND(D239&gt;0,E239&gt;0),"yes","no")</f>
        <v>no</v>
      </c>
      <c r="H239" s="13" t="str">
        <f aca="false">IF($B239="","",IF(AND(D239&gt;=4,E239&gt;=4),"LOCKED",IF(AND(D239&gt;=2,E239&gt;=2),"CANDIDATE",IF(F239&lt;=2,"DISCARD","WEAK"))))</f>
        <v/>
      </c>
      <c r="I239" s="14" t="str">
        <f aca="false">IFERROR(ROUND(AVERAGEIFS(Runs!$K:$K,Runs!$B:$B,$A239,Runs!$H:$H,$B239,Runs!$D:$D,"v2"),0),"")</f>
        <v/>
      </c>
      <c r="J239" s="8"/>
      <c r="K239" s="15"/>
    </row>
    <row r="240" customFormat="false" ht="15" hidden="false" customHeight="true" outlineLevel="0" collapsed="false">
      <c r="A240" s="12"/>
      <c r="B240" s="12"/>
      <c r="C240" s="12"/>
      <c r="D240" s="13" t="n">
        <f aca="false">COUNTIFS(Runs!$B:$B,$A240,Runs!$H:$H,$B240,Runs!$C:$C,"ChatGPT",Runs!$D:$D,"v2")</f>
        <v>0</v>
      </c>
      <c r="E240" s="13" t="n">
        <f aca="false">COUNTIFS(Runs!$B:$B,$A240,Runs!$H:$H,$B240,Runs!$C:$C,"Gemini",Runs!$D:$D,"v2")</f>
        <v>0</v>
      </c>
      <c r="F240" s="13" t="n">
        <f aca="false">D240+E240</f>
        <v>0</v>
      </c>
      <c r="G240" s="13" t="str">
        <f aca="false">IF(AND(D240&gt;0,E240&gt;0),"yes","no")</f>
        <v>no</v>
      </c>
      <c r="H240" s="13" t="str">
        <f aca="false">IF($B240="","",IF(AND(D240&gt;=4,E240&gt;=4),"LOCKED",IF(AND(D240&gt;=2,E240&gt;=2),"CANDIDATE",IF(F240&lt;=2,"DISCARD","WEAK"))))</f>
        <v/>
      </c>
      <c r="I240" s="14" t="str">
        <f aca="false">IFERROR(ROUND(AVERAGEIFS(Runs!$K:$K,Runs!$B:$B,$A240,Runs!$H:$H,$B240,Runs!$D:$D,"v2"),0),"")</f>
        <v/>
      </c>
      <c r="J240" s="8"/>
      <c r="K240" s="15"/>
    </row>
    <row r="241" customFormat="false" ht="15" hidden="false" customHeight="true" outlineLevel="0" collapsed="false">
      <c r="A241" s="12"/>
      <c r="B241" s="12"/>
      <c r="C241" s="12"/>
      <c r="D241" s="13" t="n">
        <f aca="false">COUNTIFS(Runs!$B:$B,$A241,Runs!$H:$H,$B241,Runs!$C:$C,"ChatGPT",Runs!$D:$D,"v2")</f>
        <v>0</v>
      </c>
      <c r="E241" s="13" t="n">
        <f aca="false">COUNTIFS(Runs!$B:$B,$A241,Runs!$H:$H,$B241,Runs!$C:$C,"Gemini",Runs!$D:$D,"v2")</f>
        <v>0</v>
      </c>
      <c r="F241" s="13" t="n">
        <f aca="false">D241+E241</f>
        <v>0</v>
      </c>
      <c r="G241" s="13" t="str">
        <f aca="false">IF(AND(D241&gt;0,E241&gt;0),"yes","no")</f>
        <v>no</v>
      </c>
      <c r="H241" s="13" t="str">
        <f aca="false">IF($B241="","",IF(AND(D241&gt;=4,E241&gt;=4),"LOCKED",IF(AND(D241&gt;=2,E241&gt;=2),"CANDIDATE",IF(F241&lt;=2,"DISCARD","WEAK"))))</f>
        <v/>
      </c>
      <c r="I241" s="14" t="str">
        <f aca="false">IFERROR(ROUND(AVERAGEIFS(Runs!$K:$K,Runs!$B:$B,$A241,Runs!$H:$H,$B241,Runs!$D:$D,"v2"),0),"")</f>
        <v/>
      </c>
      <c r="J241" s="8"/>
      <c r="K241" s="15"/>
    </row>
    <row r="242" customFormat="false" ht="15" hidden="false" customHeight="true" outlineLevel="0" collapsed="false">
      <c r="A242" s="12"/>
      <c r="B242" s="12"/>
      <c r="C242" s="12"/>
      <c r="D242" s="13" t="n">
        <f aca="false">COUNTIFS(Runs!$B:$B,$A242,Runs!$H:$H,$B242,Runs!$C:$C,"ChatGPT",Runs!$D:$D,"v2")</f>
        <v>0</v>
      </c>
      <c r="E242" s="13" t="n">
        <f aca="false">COUNTIFS(Runs!$B:$B,$A242,Runs!$H:$H,$B242,Runs!$C:$C,"Gemini",Runs!$D:$D,"v2")</f>
        <v>0</v>
      </c>
      <c r="F242" s="13" t="n">
        <f aca="false">D242+E242</f>
        <v>0</v>
      </c>
      <c r="G242" s="13" t="str">
        <f aca="false">IF(AND(D242&gt;0,E242&gt;0),"yes","no")</f>
        <v>no</v>
      </c>
      <c r="H242" s="13" t="str">
        <f aca="false">IF($B242="","",IF(AND(D242&gt;=4,E242&gt;=4),"LOCKED",IF(AND(D242&gt;=2,E242&gt;=2),"CANDIDATE",IF(F242&lt;=2,"DISCARD","WEAK"))))</f>
        <v/>
      </c>
      <c r="I242" s="14" t="str">
        <f aca="false">IFERROR(ROUND(AVERAGEIFS(Runs!$K:$K,Runs!$B:$B,$A242,Runs!$H:$H,$B242,Runs!$D:$D,"v2"),0),"")</f>
        <v/>
      </c>
      <c r="J242" s="8"/>
      <c r="K242" s="15"/>
    </row>
    <row r="243" customFormat="false" ht="15" hidden="false" customHeight="true" outlineLevel="0" collapsed="false">
      <c r="A243" s="12"/>
      <c r="B243" s="12"/>
      <c r="C243" s="12"/>
      <c r="D243" s="13" t="n">
        <f aca="false">COUNTIFS(Runs!$B:$B,$A243,Runs!$H:$H,$B243,Runs!$C:$C,"ChatGPT",Runs!$D:$D,"v2")</f>
        <v>0</v>
      </c>
      <c r="E243" s="13" t="n">
        <f aca="false">COUNTIFS(Runs!$B:$B,$A243,Runs!$H:$H,$B243,Runs!$C:$C,"Gemini",Runs!$D:$D,"v2")</f>
        <v>0</v>
      </c>
      <c r="F243" s="13" t="n">
        <f aca="false">D243+E243</f>
        <v>0</v>
      </c>
      <c r="G243" s="13" t="str">
        <f aca="false">IF(AND(D243&gt;0,E243&gt;0),"yes","no")</f>
        <v>no</v>
      </c>
      <c r="H243" s="13" t="str">
        <f aca="false">IF($B243="","",IF(AND(D243&gt;=4,E243&gt;=4),"LOCKED",IF(AND(D243&gt;=2,E243&gt;=2),"CANDIDATE",IF(F243&lt;=2,"DISCARD","WEAK"))))</f>
        <v/>
      </c>
      <c r="I243" s="14" t="str">
        <f aca="false">IFERROR(ROUND(AVERAGEIFS(Runs!$K:$K,Runs!$B:$B,$A243,Runs!$H:$H,$B243,Runs!$D:$D,"v2"),0),"")</f>
        <v/>
      </c>
      <c r="J243" s="8"/>
      <c r="K243" s="15"/>
    </row>
    <row r="244" customFormat="false" ht="15" hidden="false" customHeight="true" outlineLevel="0" collapsed="false">
      <c r="A244" s="12"/>
      <c r="B244" s="12"/>
      <c r="C244" s="12"/>
      <c r="D244" s="13" t="n">
        <f aca="false">COUNTIFS(Runs!$B:$B,$A244,Runs!$H:$H,$B244,Runs!$C:$C,"ChatGPT",Runs!$D:$D,"v2")</f>
        <v>0</v>
      </c>
      <c r="E244" s="13" t="n">
        <f aca="false">COUNTIFS(Runs!$B:$B,$A244,Runs!$H:$H,$B244,Runs!$C:$C,"Gemini",Runs!$D:$D,"v2")</f>
        <v>0</v>
      </c>
      <c r="F244" s="13" t="n">
        <f aca="false">D244+E244</f>
        <v>0</v>
      </c>
      <c r="G244" s="13" t="str">
        <f aca="false">IF(AND(D244&gt;0,E244&gt;0),"yes","no")</f>
        <v>no</v>
      </c>
      <c r="H244" s="13" t="str">
        <f aca="false">IF($B244="","",IF(AND(D244&gt;=4,E244&gt;=4),"LOCKED",IF(AND(D244&gt;=2,E244&gt;=2),"CANDIDATE",IF(F244&lt;=2,"DISCARD","WEAK"))))</f>
        <v/>
      </c>
      <c r="I244" s="14" t="str">
        <f aca="false">IFERROR(ROUND(AVERAGEIFS(Runs!$K:$K,Runs!$B:$B,$A244,Runs!$H:$H,$B244,Runs!$D:$D,"v2"),0),"")</f>
        <v/>
      </c>
      <c r="J244" s="8"/>
      <c r="K244" s="15"/>
    </row>
    <row r="245" customFormat="false" ht="15" hidden="false" customHeight="true" outlineLevel="0" collapsed="false">
      <c r="A245" s="12"/>
      <c r="B245" s="12"/>
      <c r="C245" s="12"/>
      <c r="D245" s="13" t="n">
        <f aca="false">COUNTIFS(Runs!$B:$B,$A245,Runs!$H:$H,$B245,Runs!$C:$C,"ChatGPT",Runs!$D:$D,"v2")</f>
        <v>0</v>
      </c>
      <c r="E245" s="13" t="n">
        <f aca="false">COUNTIFS(Runs!$B:$B,$A245,Runs!$H:$H,$B245,Runs!$C:$C,"Gemini",Runs!$D:$D,"v2")</f>
        <v>0</v>
      </c>
      <c r="F245" s="13" t="n">
        <f aca="false">D245+E245</f>
        <v>0</v>
      </c>
      <c r="G245" s="13" t="str">
        <f aca="false">IF(AND(D245&gt;0,E245&gt;0),"yes","no")</f>
        <v>no</v>
      </c>
      <c r="H245" s="13" t="str">
        <f aca="false">IF($B245="","",IF(AND(D245&gt;=4,E245&gt;=4),"LOCKED",IF(AND(D245&gt;=2,E245&gt;=2),"CANDIDATE",IF(F245&lt;=2,"DISCARD","WEAK"))))</f>
        <v/>
      </c>
      <c r="I245" s="14" t="str">
        <f aca="false">IFERROR(ROUND(AVERAGEIFS(Runs!$K:$K,Runs!$B:$B,$A245,Runs!$H:$H,$B245,Runs!$D:$D,"v2"),0),"")</f>
        <v/>
      </c>
      <c r="J245" s="8"/>
      <c r="K245" s="15"/>
    </row>
    <row r="246" customFormat="false" ht="15" hidden="false" customHeight="true" outlineLevel="0" collapsed="false">
      <c r="A246" s="12"/>
      <c r="B246" s="12"/>
      <c r="C246" s="12"/>
      <c r="D246" s="13" t="n">
        <f aca="false">COUNTIFS(Runs!$B:$B,$A246,Runs!$H:$H,$B246,Runs!$C:$C,"ChatGPT",Runs!$D:$D,"v2")</f>
        <v>0</v>
      </c>
      <c r="E246" s="13" t="n">
        <f aca="false">COUNTIFS(Runs!$B:$B,$A246,Runs!$H:$H,$B246,Runs!$C:$C,"Gemini",Runs!$D:$D,"v2")</f>
        <v>0</v>
      </c>
      <c r="F246" s="13" t="n">
        <f aca="false">D246+E246</f>
        <v>0</v>
      </c>
      <c r="G246" s="13" t="str">
        <f aca="false">IF(AND(D246&gt;0,E246&gt;0),"yes","no")</f>
        <v>no</v>
      </c>
      <c r="H246" s="13" t="str">
        <f aca="false">IF($B246="","",IF(AND(D246&gt;=4,E246&gt;=4),"LOCKED",IF(AND(D246&gt;=2,E246&gt;=2),"CANDIDATE",IF(F246&lt;=2,"DISCARD","WEAK"))))</f>
        <v/>
      </c>
      <c r="I246" s="14" t="str">
        <f aca="false">IFERROR(ROUND(AVERAGEIFS(Runs!$K:$K,Runs!$B:$B,$A246,Runs!$H:$H,$B246,Runs!$D:$D,"v2"),0),"")</f>
        <v/>
      </c>
      <c r="J246" s="8"/>
      <c r="K246" s="15"/>
    </row>
    <row r="247" customFormat="false" ht="15" hidden="false" customHeight="true" outlineLevel="0" collapsed="false">
      <c r="A247" s="12"/>
      <c r="B247" s="12"/>
      <c r="C247" s="12"/>
      <c r="D247" s="13" t="n">
        <f aca="false">COUNTIFS(Runs!$B:$B,$A247,Runs!$H:$H,$B247,Runs!$C:$C,"ChatGPT",Runs!$D:$D,"v2")</f>
        <v>0</v>
      </c>
      <c r="E247" s="13" t="n">
        <f aca="false">COUNTIFS(Runs!$B:$B,$A247,Runs!$H:$H,$B247,Runs!$C:$C,"Gemini",Runs!$D:$D,"v2")</f>
        <v>0</v>
      </c>
      <c r="F247" s="13" t="n">
        <f aca="false">D247+E247</f>
        <v>0</v>
      </c>
      <c r="G247" s="13" t="str">
        <f aca="false">IF(AND(D247&gt;0,E247&gt;0),"yes","no")</f>
        <v>no</v>
      </c>
      <c r="H247" s="13" t="str">
        <f aca="false">IF($B247="","",IF(AND(D247&gt;=4,E247&gt;=4),"LOCKED",IF(AND(D247&gt;=2,E247&gt;=2),"CANDIDATE",IF(F247&lt;=2,"DISCARD","WEAK"))))</f>
        <v/>
      </c>
      <c r="I247" s="14" t="str">
        <f aca="false">IFERROR(ROUND(AVERAGEIFS(Runs!$K:$K,Runs!$B:$B,$A247,Runs!$H:$H,$B247,Runs!$D:$D,"v2"),0),"")</f>
        <v/>
      </c>
      <c r="J247" s="8"/>
      <c r="K247" s="15"/>
    </row>
    <row r="248" customFormat="false" ht="15" hidden="false" customHeight="true" outlineLevel="0" collapsed="false">
      <c r="A248" s="12"/>
      <c r="B248" s="12"/>
      <c r="C248" s="12"/>
      <c r="D248" s="13" t="n">
        <f aca="false">COUNTIFS(Runs!$B:$B,$A248,Runs!$H:$H,$B248,Runs!$C:$C,"ChatGPT",Runs!$D:$D,"v2")</f>
        <v>0</v>
      </c>
      <c r="E248" s="13" t="n">
        <f aca="false">COUNTIFS(Runs!$B:$B,$A248,Runs!$H:$H,$B248,Runs!$C:$C,"Gemini",Runs!$D:$D,"v2")</f>
        <v>0</v>
      </c>
      <c r="F248" s="13" t="n">
        <f aca="false">D248+E248</f>
        <v>0</v>
      </c>
      <c r="G248" s="13" t="str">
        <f aca="false">IF(AND(D248&gt;0,E248&gt;0),"yes","no")</f>
        <v>no</v>
      </c>
      <c r="H248" s="13" t="str">
        <f aca="false">IF($B248="","",IF(AND(D248&gt;=4,E248&gt;=4),"LOCKED",IF(AND(D248&gt;=2,E248&gt;=2),"CANDIDATE",IF(F248&lt;=2,"DISCARD","WEAK"))))</f>
        <v/>
      </c>
      <c r="I248" s="14" t="str">
        <f aca="false">IFERROR(ROUND(AVERAGEIFS(Runs!$K:$K,Runs!$B:$B,$A248,Runs!$H:$H,$B248,Runs!$D:$D,"v2"),0),"")</f>
        <v/>
      </c>
      <c r="J248" s="8"/>
      <c r="K248" s="15"/>
    </row>
    <row r="249" customFormat="false" ht="15" hidden="false" customHeight="true" outlineLevel="0" collapsed="false">
      <c r="A249" s="12"/>
      <c r="B249" s="12"/>
      <c r="C249" s="12"/>
      <c r="D249" s="13" t="n">
        <f aca="false">COUNTIFS(Runs!$B:$B,$A249,Runs!$H:$H,$B249,Runs!$C:$C,"ChatGPT",Runs!$D:$D,"v2")</f>
        <v>0</v>
      </c>
      <c r="E249" s="13" t="n">
        <f aca="false">COUNTIFS(Runs!$B:$B,$A249,Runs!$H:$H,$B249,Runs!$C:$C,"Gemini",Runs!$D:$D,"v2")</f>
        <v>0</v>
      </c>
      <c r="F249" s="13" t="n">
        <f aca="false">D249+E249</f>
        <v>0</v>
      </c>
      <c r="G249" s="13" t="str">
        <f aca="false">IF(AND(D249&gt;0,E249&gt;0),"yes","no")</f>
        <v>no</v>
      </c>
      <c r="H249" s="13" t="str">
        <f aca="false">IF($B249="","",IF(AND(D249&gt;=4,E249&gt;=4),"LOCKED",IF(AND(D249&gt;=2,E249&gt;=2),"CANDIDATE",IF(F249&lt;=2,"DISCARD","WEAK"))))</f>
        <v/>
      </c>
      <c r="I249" s="14" t="str">
        <f aca="false">IFERROR(ROUND(AVERAGEIFS(Runs!$K:$K,Runs!$B:$B,$A249,Runs!$H:$H,$B249,Runs!$D:$D,"v2"),0),"")</f>
        <v/>
      </c>
      <c r="J249" s="8"/>
      <c r="K249" s="15"/>
    </row>
    <row r="250" customFormat="false" ht="15" hidden="false" customHeight="true" outlineLevel="0" collapsed="false">
      <c r="A250" s="12"/>
      <c r="B250" s="12"/>
      <c r="C250" s="12"/>
      <c r="D250" s="13" t="n">
        <f aca="false">COUNTIFS(Runs!$B:$B,$A250,Runs!$H:$H,$B250,Runs!$C:$C,"ChatGPT",Runs!$D:$D,"v2")</f>
        <v>0</v>
      </c>
      <c r="E250" s="13" t="n">
        <f aca="false">COUNTIFS(Runs!$B:$B,$A250,Runs!$H:$H,$B250,Runs!$C:$C,"Gemini",Runs!$D:$D,"v2")</f>
        <v>0</v>
      </c>
      <c r="F250" s="13" t="n">
        <f aca="false">D250+E250</f>
        <v>0</v>
      </c>
      <c r="G250" s="13" t="str">
        <f aca="false">IF(AND(D250&gt;0,E250&gt;0),"yes","no")</f>
        <v>no</v>
      </c>
      <c r="H250" s="13" t="str">
        <f aca="false">IF($B250="","",IF(AND(D250&gt;=4,E250&gt;=4),"LOCKED",IF(AND(D250&gt;=2,E250&gt;=2),"CANDIDATE",IF(F250&lt;=2,"DISCARD","WEAK"))))</f>
        <v/>
      </c>
      <c r="I250" s="14" t="str">
        <f aca="false">IFERROR(ROUND(AVERAGEIFS(Runs!$K:$K,Runs!$B:$B,$A250,Runs!$H:$H,$B250,Runs!$D:$D,"v2"),0),"")</f>
        <v/>
      </c>
      <c r="J250" s="8"/>
      <c r="K250" s="15"/>
    </row>
    <row r="251" customFormat="false" ht="15" hidden="false" customHeight="true" outlineLevel="0" collapsed="false">
      <c r="A251" s="12"/>
      <c r="B251" s="12"/>
      <c r="C251" s="12"/>
      <c r="D251" s="13" t="n">
        <f aca="false">COUNTIFS(Runs!$B:$B,$A251,Runs!$H:$H,$B251,Runs!$C:$C,"ChatGPT",Runs!$D:$D,"v2")</f>
        <v>0</v>
      </c>
      <c r="E251" s="13" t="n">
        <f aca="false">COUNTIFS(Runs!$B:$B,$A251,Runs!$H:$H,$B251,Runs!$C:$C,"Gemini",Runs!$D:$D,"v2")</f>
        <v>0</v>
      </c>
      <c r="F251" s="13" t="n">
        <f aca="false">D251+E251</f>
        <v>0</v>
      </c>
      <c r="G251" s="13" t="str">
        <f aca="false">IF(AND(D251&gt;0,E251&gt;0),"yes","no")</f>
        <v>no</v>
      </c>
      <c r="H251" s="13" t="str">
        <f aca="false">IF($B251="","",IF(AND(D251&gt;=4,E251&gt;=4),"LOCKED",IF(AND(D251&gt;=2,E251&gt;=2),"CANDIDATE",IF(F251&lt;=2,"DISCARD","WEAK"))))</f>
        <v/>
      </c>
      <c r="I251" s="14" t="str">
        <f aca="false">IFERROR(ROUND(AVERAGEIFS(Runs!$K:$K,Runs!$B:$B,$A251,Runs!$H:$H,$B251,Runs!$D:$D,"v2"),0),"")</f>
        <v/>
      </c>
      <c r="J251" s="8"/>
      <c r="K251" s="15"/>
    </row>
    <row r="252" customFormat="false" ht="15" hidden="false" customHeight="true" outlineLevel="0" collapsed="false">
      <c r="A252" s="12"/>
      <c r="B252" s="12"/>
      <c r="C252" s="12"/>
      <c r="D252" s="13" t="n">
        <f aca="false">COUNTIFS(Runs!$B:$B,$A252,Runs!$H:$H,$B252,Runs!$C:$C,"ChatGPT",Runs!$D:$D,"v2")</f>
        <v>0</v>
      </c>
      <c r="E252" s="13" t="n">
        <f aca="false">COUNTIFS(Runs!$B:$B,$A252,Runs!$H:$H,$B252,Runs!$C:$C,"Gemini",Runs!$D:$D,"v2")</f>
        <v>0</v>
      </c>
      <c r="F252" s="13" t="n">
        <f aca="false">D252+E252</f>
        <v>0</v>
      </c>
      <c r="G252" s="13" t="str">
        <f aca="false">IF(AND(D252&gt;0,E252&gt;0),"yes","no")</f>
        <v>no</v>
      </c>
      <c r="H252" s="13" t="str">
        <f aca="false">IF($B252="","",IF(AND(D252&gt;=4,E252&gt;=4),"LOCKED",IF(AND(D252&gt;=2,E252&gt;=2),"CANDIDATE",IF(F252&lt;=2,"DISCARD","WEAK"))))</f>
        <v/>
      </c>
      <c r="I252" s="14" t="str">
        <f aca="false">IFERROR(ROUND(AVERAGEIFS(Runs!$K:$K,Runs!$B:$B,$A252,Runs!$H:$H,$B252,Runs!$D:$D,"v2"),0),"")</f>
        <v/>
      </c>
      <c r="J252" s="8"/>
      <c r="K252" s="15"/>
    </row>
    <row r="253" customFormat="false" ht="15" hidden="false" customHeight="true" outlineLevel="0" collapsed="false">
      <c r="A253" s="12"/>
      <c r="B253" s="12"/>
      <c r="C253" s="12"/>
      <c r="D253" s="13" t="n">
        <f aca="false">COUNTIFS(Runs!$B:$B,$A253,Runs!$H:$H,$B253,Runs!$C:$C,"ChatGPT",Runs!$D:$D,"v2")</f>
        <v>0</v>
      </c>
      <c r="E253" s="13" t="n">
        <f aca="false">COUNTIFS(Runs!$B:$B,$A253,Runs!$H:$H,$B253,Runs!$C:$C,"Gemini",Runs!$D:$D,"v2")</f>
        <v>0</v>
      </c>
      <c r="F253" s="13" t="n">
        <f aca="false">D253+E253</f>
        <v>0</v>
      </c>
      <c r="G253" s="13" t="str">
        <f aca="false">IF(AND(D253&gt;0,E253&gt;0),"yes","no")</f>
        <v>no</v>
      </c>
      <c r="H253" s="13" t="str">
        <f aca="false">IF($B253="","",IF(AND(D253&gt;=4,E253&gt;=4),"LOCKED",IF(AND(D253&gt;=2,E253&gt;=2),"CANDIDATE",IF(F253&lt;=2,"DISCARD","WEAK"))))</f>
        <v/>
      </c>
      <c r="I253" s="14" t="str">
        <f aca="false">IFERROR(ROUND(AVERAGEIFS(Runs!$K:$K,Runs!$B:$B,$A253,Runs!$H:$H,$B253,Runs!$D:$D,"v2"),0),"")</f>
        <v/>
      </c>
      <c r="J253" s="8"/>
      <c r="K253" s="15"/>
    </row>
    <row r="254" customFormat="false" ht="15" hidden="false" customHeight="true" outlineLevel="0" collapsed="false">
      <c r="A254" s="12"/>
      <c r="B254" s="12"/>
      <c r="C254" s="12"/>
      <c r="D254" s="13" t="n">
        <f aca="false">COUNTIFS(Runs!$B:$B,$A254,Runs!$H:$H,$B254,Runs!$C:$C,"ChatGPT",Runs!$D:$D,"v2")</f>
        <v>0</v>
      </c>
      <c r="E254" s="13" t="n">
        <f aca="false">COUNTIFS(Runs!$B:$B,$A254,Runs!$H:$H,$B254,Runs!$C:$C,"Gemini",Runs!$D:$D,"v2")</f>
        <v>0</v>
      </c>
      <c r="F254" s="13" t="n">
        <f aca="false">D254+E254</f>
        <v>0</v>
      </c>
      <c r="G254" s="13" t="str">
        <f aca="false">IF(AND(D254&gt;0,E254&gt;0),"yes","no")</f>
        <v>no</v>
      </c>
      <c r="H254" s="13" t="str">
        <f aca="false">IF($B254="","",IF(AND(D254&gt;=4,E254&gt;=4),"LOCKED",IF(AND(D254&gt;=2,E254&gt;=2),"CANDIDATE",IF(F254&lt;=2,"DISCARD","WEAK"))))</f>
        <v/>
      </c>
      <c r="I254" s="14" t="str">
        <f aca="false">IFERROR(ROUND(AVERAGEIFS(Runs!$K:$K,Runs!$B:$B,$A254,Runs!$H:$H,$B254,Runs!$D:$D,"v2"),0),"")</f>
        <v/>
      </c>
      <c r="J254" s="8"/>
      <c r="K254" s="15"/>
    </row>
    <row r="255" customFormat="false" ht="15" hidden="false" customHeight="true" outlineLevel="0" collapsed="false">
      <c r="A255" s="12"/>
      <c r="B255" s="12"/>
      <c r="C255" s="12"/>
      <c r="D255" s="13" t="n">
        <f aca="false">COUNTIFS(Runs!$B:$B,$A255,Runs!$H:$H,$B255,Runs!$C:$C,"ChatGPT",Runs!$D:$D,"v2")</f>
        <v>0</v>
      </c>
      <c r="E255" s="13" t="n">
        <f aca="false">COUNTIFS(Runs!$B:$B,$A255,Runs!$H:$H,$B255,Runs!$C:$C,"Gemini",Runs!$D:$D,"v2")</f>
        <v>0</v>
      </c>
      <c r="F255" s="13" t="n">
        <f aca="false">D255+E255</f>
        <v>0</v>
      </c>
      <c r="G255" s="13" t="str">
        <f aca="false">IF(AND(D255&gt;0,E255&gt;0),"yes","no")</f>
        <v>no</v>
      </c>
      <c r="H255" s="13" t="str">
        <f aca="false">IF($B255="","",IF(AND(D255&gt;=4,E255&gt;=4),"LOCKED",IF(AND(D255&gt;=2,E255&gt;=2),"CANDIDATE",IF(F255&lt;=2,"DISCARD","WEAK"))))</f>
        <v/>
      </c>
      <c r="I255" s="14" t="str">
        <f aca="false">IFERROR(ROUND(AVERAGEIFS(Runs!$K:$K,Runs!$B:$B,$A255,Runs!$H:$H,$B255,Runs!$D:$D,"v2"),0),"")</f>
        <v/>
      </c>
      <c r="J255" s="8"/>
      <c r="K255" s="15"/>
    </row>
    <row r="256" customFormat="false" ht="15" hidden="false" customHeight="true" outlineLevel="0" collapsed="false">
      <c r="A256" s="12"/>
      <c r="B256" s="12"/>
      <c r="C256" s="12"/>
      <c r="D256" s="13" t="n">
        <f aca="false">COUNTIFS(Runs!$B:$B,$A256,Runs!$H:$H,$B256,Runs!$C:$C,"ChatGPT",Runs!$D:$D,"v2")</f>
        <v>0</v>
      </c>
      <c r="E256" s="13" t="n">
        <f aca="false">COUNTIFS(Runs!$B:$B,$A256,Runs!$H:$H,$B256,Runs!$C:$C,"Gemini",Runs!$D:$D,"v2")</f>
        <v>0</v>
      </c>
      <c r="F256" s="13" t="n">
        <f aca="false">D256+E256</f>
        <v>0</v>
      </c>
      <c r="G256" s="13" t="str">
        <f aca="false">IF(AND(D256&gt;0,E256&gt;0),"yes","no")</f>
        <v>no</v>
      </c>
      <c r="H256" s="13" t="str">
        <f aca="false">IF($B256="","",IF(AND(D256&gt;=4,E256&gt;=4),"LOCKED",IF(AND(D256&gt;=2,E256&gt;=2),"CANDIDATE",IF(F256&lt;=2,"DISCARD","WEAK"))))</f>
        <v/>
      </c>
      <c r="I256" s="14" t="str">
        <f aca="false">IFERROR(ROUND(AVERAGEIFS(Runs!$K:$K,Runs!$B:$B,$A256,Runs!$H:$H,$B256,Runs!$D:$D,"v2"),0),"")</f>
        <v/>
      </c>
      <c r="J256" s="8"/>
      <c r="K256" s="15"/>
    </row>
    <row r="257" customFormat="false" ht="15" hidden="false" customHeight="true" outlineLevel="0" collapsed="false">
      <c r="A257" s="12"/>
      <c r="B257" s="12"/>
      <c r="C257" s="12"/>
      <c r="D257" s="13" t="n">
        <f aca="false">COUNTIFS(Runs!$B:$B,$A257,Runs!$H:$H,$B257,Runs!$C:$C,"ChatGPT",Runs!$D:$D,"v2")</f>
        <v>0</v>
      </c>
      <c r="E257" s="13" t="n">
        <f aca="false">COUNTIFS(Runs!$B:$B,$A257,Runs!$H:$H,$B257,Runs!$C:$C,"Gemini",Runs!$D:$D,"v2")</f>
        <v>0</v>
      </c>
      <c r="F257" s="13" t="n">
        <f aca="false">D257+E257</f>
        <v>0</v>
      </c>
      <c r="G257" s="13" t="str">
        <f aca="false">IF(AND(D257&gt;0,E257&gt;0),"yes","no")</f>
        <v>no</v>
      </c>
      <c r="H257" s="13" t="str">
        <f aca="false">IF($B257="","",IF(AND(D257&gt;=4,E257&gt;=4),"LOCKED",IF(AND(D257&gt;=2,E257&gt;=2),"CANDIDATE",IF(F257&lt;=2,"DISCARD","WEAK"))))</f>
        <v/>
      </c>
      <c r="I257" s="14" t="str">
        <f aca="false">IFERROR(ROUND(AVERAGEIFS(Runs!$K:$K,Runs!$B:$B,$A257,Runs!$H:$H,$B257,Runs!$D:$D,"v2"),0),"")</f>
        <v/>
      </c>
      <c r="J257" s="8"/>
      <c r="K257" s="15"/>
    </row>
    <row r="258" customFormat="false" ht="15" hidden="false" customHeight="true" outlineLevel="0" collapsed="false">
      <c r="A258" s="12"/>
      <c r="B258" s="12"/>
      <c r="C258" s="12"/>
      <c r="D258" s="13" t="n">
        <f aca="false">COUNTIFS(Runs!$B:$B,$A258,Runs!$H:$H,$B258,Runs!$C:$C,"ChatGPT",Runs!$D:$D,"v2")</f>
        <v>0</v>
      </c>
      <c r="E258" s="13" t="n">
        <f aca="false">COUNTIFS(Runs!$B:$B,$A258,Runs!$H:$H,$B258,Runs!$C:$C,"Gemini",Runs!$D:$D,"v2")</f>
        <v>0</v>
      </c>
      <c r="F258" s="13" t="n">
        <f aca="false">D258+E258</f>
        <v>0</v>
      </c>
      <c r="G258" s="13" t="str">
        <f aca="false">IF(AND(D258&gt;0,E258&gt;0),"yes","no")</f>
        <v>no</v>
      </c>
      <c r="H258" s="13" t="str">
        <f aca="false">IF($B258="","",IF(AND(D258&gt;=4,E258&gt;=4),"LOCKED",IF(AND(D258&gt;=2,E258&gt;=2),"CANDIDATE",IF(F258&lt;=2,"DISCARD","WEAK"))))</f>
        <v/>
      </c>
      <c r="I258" s="14" t="str">
        <f aca="false">IFERROR(ROUND(AVERAGEIFS(Runs!$K:$K,Runs!$B:$B,$A258,Runs!$H:$H,$B258,Runs!$D:$D,"v2"),0),"")</f>
        <v/>
      </c>
      <c r="J258" s="8"/>
      <c r="K258" s="15"/>
    </row>
    <row r="259" customFormat="false" ht="15" hidden="false" customHeight="true" outlineLevel="0" collapsed="false">
      <c r="A259" s="12"/>
      <c r="B259" s="12"/>
      <c r="C259" s="12"/>
      <c r="D259" s="13" t="n">
        <f aca="false">COUNTIFS(Runs!$B:$B,$A259,Runs!$H:$H,$B259,Runs!$C:$C,"ChatGPT",Runs!$D:$D,"v2")</f>
        <v>0</v>
      </c>
      <c r="E259" s="13" t="n">
        <f aca="false">COUNTIFS(Runs!$B:$B,$A259,Runs!$H:$H,$B259,Runs!$C:$C,"Gemini",Runs!$D:$D,"v2")</f>
        <v>0</v>
      </c>
      <c r="F259" s="13" t="n">
        <f aca="false">D259+E259</f>
        <v>0</v>
      </c>
      <c r="G259" s="13" t="str">
        <f aca="false">IF(AND(D259&gt;0,E259&gt;0),"yes","no")</f>
        <v>no</v>
      </c>
      <c r="H259" s="13" t="str">
        <f aca="false">IF($B259="","",IF(AND(D259&gt;=4,E259&gt;=4),"LOCKED",IF(AND(D259&gt;=2,E259&gt;=2),"CANDIDATE",IF(F259&lt;=2,"DISCARD","WEAK"))))</f>
        <v/>
      </c>
      <c r="I259" s="14" t="str">
        <f aca="false">IFERROR(ROUND(AVERAGEIFS(Runs!$K:$K,Runs!$B:$B,$A259,Runs!$H:$H,$B259,Runs!$D:$D,"v2"),0),"")</f>
        <v/>
      </c>
      <c r="J259" s="8"/>
      <c r="K259" s="15"/>
    </row>
    <row r="260" customFormat="false" ht="15" hidden="false" customHeight="true" outlineLevel="0" collapsed="false">
      <c r="A260" s="12"/>
      <c r="B260" s="12"/>
      <c r="C260" s="12"/>
      <c r="D260" s="13" t="n">
        <f aca="false">COUNTIFS(Runs!$B:$B,$A260,Runs!$H:$H,$B260,Runs!$C:$C,"ChatGPT",Runs!$D:$D,"v2")</f>
        <v>0</v>
      </c>
      <c r="E260" s="13" t="n">
        <f aca="false">COUNTIFS(Runs!$B:$B,$A260,Runs!$H:$H,$B260,Runs!$C:$C,"Gemini",Runs!$D:$D,"v2")</f>
        <v>0</v>
      </c>
      <c r="F260" s="13" t="n">
        <f aca="false">D260+E260</f>
        <v>0</v>
      </c>
      <c r="G260" s="13" t="str">
        <f aca="false">IF(AND(D260&gt;0,E260&gt;0),"yes","no")</f>
        <v>no</v>
      </c>
      <c r="H260" s="13" t="str">
        <f aca="false">IF($B260="","",IF(AND(D260&gt;=4,E260&gt;=4),"LOCKED",IF(AND(D260&gt;=2,E260&gt;=2),"CANDIDATE",IF(F260&lt;=2,"DISCARD","WEAK"))))</f>
        <v/>
      </c>
      <c r="I260" s="14" t="str">
        <f aca="false">IFERROR(ROUND(AVERAGEIFS(Runs!$K:$K,Runs!$B:$B,$A260,Runs!$H:$H,$B260,Runs!$D:$D,"v2"),0),"")</f>
        <v/>
      </c>
      <c r="J260" s="8"/>
      <c r="K260" s="15"/>
    </row>
    <row r="261" customFormat="false" ht="15" hidden="false" customHeight="true" outlineLevel="0" collapsed="false">
      <c r="A261" s="12"/>
      <c r="B261" s="12"/>
      <c r="C261" s="12"/>
      <c r="D261" s="13" t="n">
        <f aca="false">COUNTIFS(Runs!$B:$B,$A261,Runs!$H:$H,$B261,Runs!$C:$C,"ChatGPT",Runs!$D:$D,"v2")</f>
        <v>0</v>
      </c>
      <c r="E261" s="13" t="n">
        <f aca="false">COUNTIFS(Runs!$B:$B,$A261,Runs!$H:$H,$B261,Runs!$C:$C,"Gemini",Runs!$D:$D,"v2")</f>
        <v>0</v>
      </c>
      <c r="F261" s="13" t="n">
        <f aca="false">D261+E261</f>
        <v>0</v>
      </c>
      <c r="G261" s="13" t="str">
        <f aca="false">IF(AND(D261&gt;0,E261&gt;0),"yes","no")</f>
        <v>no</v>
      </c>
      <c r="H261" s="13" t="str">
        <f aca="false">IF($B261="","",IF(AND(D261&gt;=4,E261&gt;=4),"LOCKED",IF(AND(D261&gt;=2,E261&gt;=2),"CANDIDATE",IF(F261&lt;=2,"DISCARD","WEAK"))))</f>
        <v/>
      </c>
      <c r="I261" s="14" t="str">
        <f aca="false">IFERROR(ROUND(AVERAGEIFS(Runs!$K:$K,Runs!$B:$B,$A261,Runs!$H:$H,$B261,Runs!$D:$D,"v2"),0),"")</f>
        <v/>
      </c>
      <c r="J261" s="8"/>
      <c r="K261" s="15"/>
    </row>
    <row r="262" customFormat="false" ht="15" hidden="false" customHeight="true" outlineLevel="0" collapsed="false">
      <c r="A262" s="12"/>
      <c r="B262" s="12"/>
      <c r="C262" s="12"/>
      <c r="D262" s="13" t="n">
        <f aca="false">COUNTIFS(Runs!$B:$B,$A262,Runs!$H:$H,$B262,Runs!$C:$C,"ChatGPT",Runs!$D:$D,"v2")</f>
        <v>0</v>
      </c>
      <c r="E262" s="13" t="n">
        <f aca="false">COUNTIFS(Runs!$B:$B,$A262,Runs!$H:$H,$B262,Runs!$C:$C,"Gemini",Runs!$D:$D,"v2")</f>
        <v>0</v>
      </c>
      <c r="F262" s="13" t="n">
        <f aca="false">D262+E262</f>
        <v>0</v>
      </c>
      <c r="G262" s="13" t="str">
        <f aca="false">IF(AND(D262&gt;0,E262&gt;0),"yes","no")</f>
        <v>no</v>
      </c>
      <c r="H262" s="13" t="str">
        <f aca="false">IF($B262="","",IF(AND(D262&gt;=4,E262&gt;=4),"LOCKED",IF(AND(D262&gt;=2,E262&gt;=2),"CANDIDATE",IF(F262&lt;=2,"DISCARD","WEAK"))))</f>
        <v/>
      </c>
      <c r="I262" s="14" t="str">
        <f aca="false">IFERROR(ROUND(AVERAGEIFS(Runs!$K:$K,Runs!$B:$B,$A262,Runs!$H:$H,$B262,Runs!$D:$D,"v2"),0),"")</f>
        <v/>
      </c>
      <c r="J262" s="8"/>
      <c r="K262" s="15"/>
    </row>
    <row r="263" customFormat="false" ht="15" hidden="false" customHeight="true" outlineLevel="0" collapsed="false">
      <c r="A263" s="12"/>
      <c r="B263" s="12"/>
      <c r="C263" s="12"/>
      <c r="D263" s="13" t="n">
        <f aca="false">COUNTIFS(Runs!$B:$B,$A263,Runs!$H:$H,$B263,Runs!$C:$C,"ChatGPT",Runs!$D:$D,"v2")</f>
        <v>0</v>
      </c>
      <c r="E263" s="13" t="n">
        <f aca="false">COUNTIFS(Runs!$B:$B,$A263,Runs!$H:$H,$B263,Runs!$C:$C,"Gemini",Runs!$D:$D,"v2")</f>
        <v>0</v>
      </c>
      <c r="F263" s="13" t="n">
        <f aca="false">D263+E263</f>
        <v>0</v>
      </c>
      <c r="G263" s="13" t="str">
        <f aca="false">IF(AND(D263&gt;0,E263&gt;0),"yes","no")</f>
        <v>no</v>
      </c>
      <c r="H263" s="13" t="str">
        <f aca="false">IF($B263="","",IF(AND(D263&gt;=4,E263&gt;=4),"LOCKED",IF(AND(D263&gt;=2,E263&gt;=2),"CANDIDATE",IF(F263&lt;=2,"DISCARD","WEAK"))))</f>
        <v/>
      </c>
      <c r="I263" s="14" t="str">
        <f aca="false">IFERROR(ROUND(AVERAGEIFS(Runs!$K:$K,Runs!$B:$B,$A263,Runs!$H:$H,$B263,Runs!$D:$D,"v2"),0),"")</f>
        <v/>
      </c>
      <c r="J263" s="8"/>
      <c r="K263" s="15"/>
    </row>
    <row r="264" customFormat="false" ht="15" hidden="false" customHeight="true" outlineLevel="0" collapsed="false">
      <c r="A264" s="12"/>
      <c r="B264" s="12"/>
      <c r="C264" s="12"/>
      <c r="D264" s="13" t="n">
        <f aca="false">COUNTIFS(Runs!$B:$B,$A264,Runs!$H:$H,$B264,Runs!$C:$C,"ChatGPT",Runs!$D:$D,"v2")</f>
        <v>0</v>
      </c>
      <c r="E264" s="13" t="n">
        <f aca="false">COUNTIFS(Runs!$B:$B,$A264,Runs!$H:$H,$B264,Runs!$C:$C,"Gemini",Runs!$D:$D,"v2")</f>
        <v>0</v>
      </c>
      <c r="F264" s="13" t="n">
        <f aca="false">D264+E264</f>
        <v>0</v>
      </c>
      <c r="G264" s="13" t="str">
        <f aca="false">IF(AND(D264&gt;0,E264&gt;0),"yes","no")</f>
        <v>no</v>
      </c>
      <c r="H264" s="13" t="str">
        <f aca="false">IF($B264="","",IF(AND(D264&gt;=4,E264&gt;=4),"LOCKED",IF(AND(D264&gt;=2,E264&gt;=2),"CANDIDATE",IF(F264&lt;=2,"DISCARD","WEAK"))))</f>
        <v/>
      </c>
      <c r="I264" s="14" t="str">
        <f aca="false">IFERROR(ROUND(AVERAGEIFS(Runs!$K:$K,Runs!$B:$B,$A264,Runs!$H:$H,$B264,Runs!$D:$D,"v2"),0),"")</f>
        <v/>
      </c>
      <c r="J264" s="8"/>
      <c r="K264" s="15"/>
    </row>
    <row r="265" customFormat="false" ht="15" hidden="false" customHeight="true" outlineLevel="0" collapsed="false">
      <c r="A265" s="12"/>
      <c r="B265" s="12"/>
      <c r="C265" s="12"/>
      <c r="D265" s="13" t="n">
        <f aca="false">COUNTIFS(Runs!$B:$B,$A265,Runs!$H:$H,$B265,Runs!$C:$C,"ChatGPT",Runs!$D:$D,"v2")</f>
        <v>0</v>
      </c>
      <c r="E265" s="13" t="n">
        <f aca="false">COUNTIFS(Runs!$B:$B,$A265,Runs!$H:$H,$B265,Runs!$C:$C,"Gemini",Runs!$D:$D,"v2")</f>
        <v>0</v>
      </c>
      <c r="F265" s="13" t="n">
        <f aca="false">D265+E265</f>
        <v>0</v>
      </c>
      <c r="G265" s="13" t="str">
        <f aca="false">IF(AND(D265&gt;0,E265&gt;0),"yes","no")</f>
        <v>no</v>
      </c>
      <c r="H265" s="13" t="str">
        <f aca="false">IF($B265="","",IF(AND(D265&gt;=4,E265&gt;=4),"LOCKED",IF(AND(D265&gt;=2,E265&gt;=2),"CANDIDATE",IF(F265&lt;=2,"DISCARD","WEAK"))))</f>
        <v/>
      </c>
      <c r="I265" s="14" t="str">
        <f aca="false">IFERROR(ROUND(AVERAGEIFS(Runs!$K:$K,Runs!$B:$B,$A265,Runs!$H:$H,$B265,Runs!$D:$D,"v2"),0),"")</f>
        <v/>
      </c>
      <c r="J265" s="8"/>
      <c r="K265" s="15"/>
    </row>
    <row r="266" customFormat="false" ht="15" hidden="false" customHeight="true" outlineLevel="0" collapsed="false">
      <c r="A266" s="12"/>
      <c r="B266" s="12"/>
      <c r="C266" s="12"/>
      <c r="D266" s="13" t="n">
        <f aca="false">COUNTIFS(Runs!$B:$B,$A266,Runs!$H:$H,$B266,Runs!$C:$C,"ChatGPT",Runs!$D:$D,"v2")</f>
        <v>0</v>
      </c>
      <c r="E266" s="13" t="n">
        <f aca="false">COUNTIFS(Runs!$B:$B,$A266,Runs!$H:$H,$B266,Runs!$C:$C,"Gemini",Runs!$D:$D,"v2")</f>
        <v>0</v>
      </c>
      <c r="F266" s="13" t="n">
        <f aca="false">D266+E266</f>
        <v>0</v>
      </c>
      <c r="G266" s="13" t="str">
        <f aca="false">IF(AND(D266&gt;0,E266&gt;0),"yes","no")</f>
        <v>no</v>
      </c>
      <c r="H266" s="13" t="str">
        <f aca="false">IF($B266="","",IF(AND(D266&gt;=4,E266&gt;=4),"LOCKED",IF(AND(D266&gt;=2,E266&gt;=2),"CANDIDATE",IF(F266&lt;=2,"DISCARD","WEAK"))))</f>
        <v/>
      </c>
      <c r="I266" s="14" t="str">
        <f aca="false">IFERROR(ROUND(AVERAGEIFS(Runs!$K:$K,Runs!$B:$B,$A266,Runs!$H:$H,$B266,Runs!$D:$D,"v2"),0),"")</f>
        <v/>
      </c>
      <c r="J266" s="8"/>
      <c r="K266" s="15"/>
    </row>
    <row r="267" customFormat="false" ht="15" hidden="false" customHeight="true" outlineLevel="0" collapsed="false">
      <c r="A267" s="12"/>
      <c r="B267" s="12"/>
      <c r="C267" s="12"/>
      <c r="D267" s="13" t="n">
        <f aca="false">COUNTIFS(Runs!$B:$B,$A267,Runs!$H:$H,$B267,Runs!$C:$C,"ChatGPT",Runs!$D:$D,"v2")</f>
        <v>0</v>
      </c>
      <c r="E267" s="13" t="n">
        <f aca="false">COUNTIFS(Runs!$B:$B,$A267,Runs!$H:$H,$B267,Runs!$C:$C,"Gemini",Runs!$D:$D,"v2")</f>
        <v>0</v>
      </c>
      <c r="F267" s="13" t="n">
        <f aca="false">D267+E267</f>
        <v>0</v>
      </c>
      <c r="G267" s="13" t="str">
        <f aca="false">IF(AND(D267&gt;0,E267&gt;0),"yes","no")</f>
        <v>no</v>
      </c>
      <c r="H267" s="13" t="str">
        <f aca="false">IF($B267="","",IF(AND(D267&gt;=4,E267&gt;=4),"LOCKED",IF(AND(D267&gt;=2,E267&gt;=2),"CANDIDATE",IF(F267&lt;=2,"DISCARD","WEAK"))))</f>
        <v/>
      </c>
      <c r="I267" s="14" t="str">
        <f aca="false">IFERROR(ROUND(AVERAGEIFS(Runs!$K:$K,Runs!$B:$B,$A267,Runs!$H:$H,$B267,Runs!$D:$D,"v2"),0),"")</f>
        <v/>
      </c>
      <c r="J267" s="8"/>
      <c r="K267" s="15"/>
    </row>
    <row r="268" customFormat="false" ht="15" hidden="false" customHeight="true" outlineLevel="0" collapsed="false">
      <c r="A268" s="12"/>
      <c r="B268" s="12"/>
      <c r="C268" s="12"/>
      <c r="D268" s="13" t="n">
        <f aca="false">COUNTIFS(Runs!$B:$B,$A268,Runs!$H:$H,$B268,Runs!$C:$C,"ChatGPT",Runs!$D:$D,"v2")</f>
        <v>0</v>
      </c>
      <c r="E268" s="13" t="n">
        <f aca="false">COUNTIFS(Runs!$B:$B,$A268,Runs!$H:$H,$B268,Runs!$C:$C,"Gemini",Runs!$D:$D,"v2")</f>
        <v>0</v>
      </c>
      <c r="F268" s="13" t="n">
        <f aca="false">D268+E268</f>
        <v>0</v>
      </c>
      <c r="G268" s="13" t="str">
        <f aca="false">IF(AND(D268&gt;0,E268&gt;0),"yes","no")</f>
        <v>no</v>
      </c>
      <c r="H268" s="13" t="str">
        <f aca="false">IF($B268="","",IF(AND(D268&gt;=4,E268&gt;=4),"LOCKED",IF(AND(D268&gt;=2,E268&gt;=2),"CANDIDATE",IF(F268&lt;=2,"DISCARD","WEAK"))))</f>
        <v/>
      </c>
      <c r="I268" s="14" t="str">
        <f aca="false">IFERROR(ROUND(AVERAGEIFS(Runs!$K:$K,Runs!$B:$B,$A268,Runs!$H:$H,$B268,Runs!$D:$D,"v2"),0),"")</f>
        <v/>
      </c>
      <c r="J268" s="8"/>
      <c r="K268" s="15"/>
    </row>
    <row r="269" customFormat="false" ht="15" hidden="false" customHeight="true" outlineLevel="0" collapsed="false">
      <c r="A269" s="12"/>
      <c r="B269" s="12"/>
      <c r="C269" s="12"/>
      <c r="D269" s="13" t="n">
        <f aca="false">COUNTIFS(Runs!$B:$B,$A269,Runs!$H:$H,$B269,Runs!$C:$C,"ChatGPT",Runs!$D:$D,"v2")</f>
        <v>0</v>
      </c>
      <c r="E269" s="13" t="n">
        <f aca="false">COUNTIFS(Runs!$B:$B,$A269,Runs!$H:$H,$B269,Runs!$C:$C,"Gemini",Runs!$D:$D,"v2")</f>
        <v>0</v>
      </c>
      <c r="F269" s="13" t="n">
        <f aca="false">D269+E269</f>
        <v>0</v>
      </c>
      <c r="G269" s="13" t="str">
        <f aca="false">IF(AND(D269&gt;0,E269&gt;0),"yes","no")</f>
        <v>no</v>
      </c>
      <c r="H269" s="13" t="str">
        <f aca="false">IF($B269="","",IF(AND(D269&gt;=4,E269&gt;=4),"LOCKED",IF(AND(D269&gt;=2,E269&gt;=2),"CANDIDATE",IF(F269&lt;=2,"DISCARD","WEAK"))))</f>
        <v/>
      </c>
      <c r="I269" s="14" t="str">
        <f aca="false">IFERROR(ROUND(AVERAGEIFS(Runs!$K:$K,Runs!$B:$B,$A269,Runs!$H:$H,$B269,Runs!$D:$D,"v2"),0),"")</f>
        <v/>
      </c>
      <c r="J269" s="8"/>
      <c r="K269" s="15"/>
    </row>
    <row r="270" customFormat="false" ht="15" hidden="false" customHeight="true" outlineLevel="0" collapsed="false">
      <c r="A270" s="12"/>
      <c r="B270" s="12"/>
      <c r="C270" s="12"/>
      <c r="D270" s="13" t="n">
        <f aca="false">COUNTIFS(Runs!$B:$B,$A270,Runs!$H:$H,$B270,Runs!$C:$C,"ChatGPT",Runs!$D:$D,"v2")</f>
        <v>0</v>
      </c>
      <c r="E270" s="13" t="n">
        <f aca="false">COUNTIFS(Runs!$B:$B,$A270,Runs!$H:$H,$B270,Runs!$C:$C,"Gemini",Runs!$D:$D,"v2")</f>
        <v>0</v>
      </c>
      <c r="F270" s="13" t="n">
        <f aca="false">D270+E270</f>
        <v>0</v>
      </c>
      <c r="G270" s="13" t="str">
        <f aca="false">IF(AND(D270&gt;0,E270&gt;0),"yes","no")</f>
        <v>no</v>
      </c>
      <c r="H270" s="13" t="str">
        <f aca="false">IF($B270="","",IF(AND(D270&gt;=4,E270&gt;=4),"LOCKED",IF(AND(D270&gt;=2,E270&gt;=2),"CANDIDATE",IF(F270&lt;=2,"DISCARD","WEAK"))))</f>
        <v/>
      </c>
      <c r="I270" s="14" t="str">
        <f aca="false">IFERROR(ROUND(AVERAGEIFS(Runs!$K:$K,Runs!$B:$B,$A270,Runs!$H:$H,$B270,Runs!$D:$D,"v2"),0),"")</f>
        <v/>
      </c>
      <c r="J270" s="8"/>
      <c r="K270" s="15"/>
    </row>
    <row r="271" customFormat="false" ht="15" hidden="false" customHeight="true" outlineLevel="0" collapsed="false">
      <c r="A271" s="12"/>
      <c r="B271" s="12"/>
      <c r="C271" s="12"/>
      <c r="D271" s="13" t="n">
        <f aca="false">COUNTIFS(Runs!$B:$B,$A271,Runs!$H:$H,$B271,Runs!$C:$C,"ChatGPT",Runs!$D:$D,"v2")</f>
        <v>0</v>
      </c>
      <c r="E271" s="13" t="n">
        <f aca="false">COUNTIFS(Runs!$B:$B,$A271,Runs!$H:$H,$B271,Runs!$C:$C,"Gemini",Runs!$D:$D,"v2")</f>
        <v>0</v>
      </c>
      <c r="F271" s="13" t="n">
        <f aca="false">D271+E271</f>
        <v>0</v>
      </c>
      <c r="G271" s="13" t="str">
        <f aca="false">IF(AND(D271&gt;0,E271&gt;0),"yes","no")</f>
        <v>no</v>
      </c>
      <c r="H271" s="13" t="str">
        <f aca="false">IF($B271="","",IF(AND(D271&gt;=4,E271&gt;=4),"LOCKED",IF(AND(D271&gt;=2,E271&gt;=2),"CANDIDATE",IF(F271&lt;=2,"DISCARD","WEAK"))))</f>
        <v/>
      </c>
      <c r="I271" s="14" t="str">
        <f aca="false">IFERROR(ROUND(AVERAGEIFS(Runs!$K:$K,Runs!$B:$B,$A271,Runs!$H:$H,$B271,Runs!$D:$D,"v2"),0),"")</f>
        <v/>
      </c>
      <c r="J271" s="8"/>
      <c r="K271" s="15"/>
    </row>
    <row r="272" customFormat="false" ht="15" hidden="false" customHeight="true" outlineLevel="0" collapsed="false">
      <c r="A272" s="12"/>
      <c r="B272" s="12"/>
      <c r="C272" s="12"/>
      <c r="D272" s="13" t="n">
        <f aca="false">COUNTIFS(Runs!$B:$B,$A272,Runs!$H:$H,$B272,Runs!$C:$C,"ChatGPT",Runs!$D:$D,"v2")</f>
        <v>0</v>
      </c>
      <c r="E272" s="13" t="n">
        <f aca="false">COUNTIFS(Runs!$B:$B,$A272,Runs!$H:$H,$B272,Runs!$C:$C,"Gemini",Runs!$D:$D,"v2")</f>
        <v>0</v>
      </c>
      <c r="F272" s="13" t="n">
        <f aca="false">D272+E272</f>
        <v>0</v>
      </c>
      <c r="G272" s="13" t="str">
        <f aca="false">IF(AND(D272&gt;0,E272&gt;0),"yes","no")</f>
        <v>no</v>
      </c>
      <c r="H272" s="13" t="str">
        <f aca="false">IF($B272="","",IF(AND(D272&gt;=4,E272&gt;=4),"LOCKED",IF(AND(D272&gt;=2,E272&gt;=2),"CANDIDATE",IF(F272&lt;=2,"DISCARD","WEAK"))))</f>
        <v/>
      </c>
      <c r="I272" s="14" t="str">
        <f aca="false">IFERROR(ROUND(AVERAGEIFS(Runs!$K:$K,Runs!$B:$B,$A272,Runs!$H:$H,$B272,Runs!$D:$D,"v2"),0),"")</f>
        <v/>
      </c>
      <c r="J272" s="8"/>
      <c r="K272" s="15"/>
    </row>
    <row r="273" customFormat="false" ht="15" hidden="false" customHeight="true" outlineLevel="0" collapsed="false">
      <c r="A273" s="12"/>
      <c r="B273" s="12"/>
      <c r="C273" s="12"/>
      <c r="D273" s="13" t="n">
        <f aca="false">COUNTIFS(Runs!$B:$B,$A273,Runs!$H:$H,$B273,Runs!$C:$C,"ChatGPT",Runs!$D:$D,"v2")</f>
        <v>0</v>
      </c>
      <c r="E273" s="13" t="n">
        <f aca="false">COUNTIFS(Runs!$B:$B,$A273,Runs!$H:$H,$B273,Runs!$C:$C,"Gemini",Runs!$D:$D,"v2")</f>
        <v>0</v>
      </c>
      <c r="F273" s="13" t="n">
        <f aca="false">D273+E273</f>
        <v>0</v>
      </c>
      <c r="G273" s="13" t="str">
        <f aca="false">IF(AND(D273&gt;0,E273&gt;0),"yes","no")</f>
        <v>no</v>
      </c>
      <c r="H273" s="13" t="str">
        <f aca="false">IF($B273="","",IF(AND(D273&gt;=4,E273&gt;=4),"LOCKED",IF(AND(D273&gt;=2,E273&gt;=2),"CANDIDATE",IF(F273&lt;=2,"DISCARD","WEAK"))))</f>
        <v/>
      </c>
      <c r="I273" s="14" t="str">
        <f aca="false">IFERROR(ROUND(AVERAGEIFS(Runs!$K:$K,Runs!$B:$B,$A273,Runs!$H:$H,$B273,Runs!$D:$D,"v2"),0),"")</f>
        <v/>
      </c>
      <c r="J273" s="8"/>
      <c r="K273" s="15"/>
    </row>
    <row r="274" customFormat="false" ht="15" hidden="false" customHeight="true" outlineLevel="0" collapsed="false">
      <c r="A274" s="12"/>
      <c r="B274" s="12"/>
      <c r="C274" s="12"/>
      <c r="D274" s="13" t="n">
        <f aca="false">COUNTIFS(Runs!$B:$B,$A274,Runs!$H:$H,$B274,Runs!$C:$C,"ChatGPT",Runs!$D:$D,"v2")</f>
        <v>0</v>
      </c>
      <c r="E274" s="13" t="n">
        <f aca="false">COUNTIFS(Runs!$B:$B,$A274,Runs!$H:$H,$B274,Runs!$C:$C,"Gemini",Runs!$D:$D,"v2")</f>
        <v>0</v>
      </c>
      <c r="F274" s="13" t="n">
        <f aca="false">D274+E274</f>
        <v>0</v>
      </c>
      <c r="G274" s="13" t="str">
        <f aca="false">IF(AND(D274&gt;0,E274&gt;0),"yes","no")</f>
        <v>no</v>
      </c>
      <c r="H274" s="13" t="str">
        <f aca="false">IF($B274="","",IF(AND(D274&gt;=4,E274&gt;=4),"LOCKED",IF(AND(D274&gt;=2,E274&gt;=2),"CANDIDATE",IF(F274&lt;=2,"DISCARD","WEAK"))))</f>
        <v/>
      </c>
      <c r="I274" s="14" t="str">
        <f aca="false">IFERROR(ROUND(AVERAGEIFS(Runs!$K:$K,Runs!$B:$B,$A274,Runs!$H:$H,$B274,Runs!$D:$D,"v2"),0),"")</f>
        <v/>
      </c>
      <c r="J274" s="8"/>
      <c r="K274" s="15"/>
    </row>
    <row r="275" customFormat="false" ht="15" hidden="false" customHeight="true" outlineLevel="0" collapsed="false">
      <c r="A275" s="12"/>
      <c r="B275" s="12"/>
      <c r="C275" s="12"/>
      <c r="D275" s="13" t="n">
        <f aca="false">COUNTIFS(Runs!$B:$B,$A275,Runs!$H:$H,$B275,Runs!$C:$C,"ChatGPT",Runs!$D:$D,"v2")</f>
        <v>0</v>
      </c>
      <c r="E275" s="13" t="n">
        <f aca="false">COUNTIFS(Runs!$B:$B,$A275,Runs!$H:$H,$B275,Runs!$C:$C,"Gemini",Runs!$D:$D,"v2")</f>
        <v>0</v>
      </c>
      <c r="F275" s="13" t="n">
        <f aca="false">D275+E275</f>
        <v>0</v>
      </c>
      <c r="G275" s="13" t="str">
        <f aca="false">IF(AND(D275&gt;0,E275&gt;0),"yes","no")</f>
        <v>no</v>
      </c>
      <c r="H275" s="13" t="str">
        <f aca="false">IF($B275="","",IF(AND(D275&gt;=4,E275&gt;=4),"LOCKED",IF(AND(D275&gt;=2,E275&gt;=2),"CANDIDATE",IF(F275&lt;=2,"DISCARD","WEAK"))))</f>
        <v/>
      </c>
      <c r="I275" s="14" t="str">
        <f aca="false">IFERROR(ROUND(AVERAGEIFS(Runs!$K:$K,Runs!$B:$B,$A275,Runs!$H:$H,$B275,Runs!$D:$D,"v2"),0),"")</f>
        <v/>
      </c>
      <c r="J275" s="8"/>
      <c r="K275" s="15"/>
    </row>
    <row r="276" customFormat="false" ht="15" hidden="false" customHeight="true" outlineLevel="0" collapsed="false">
      <c r="A276" s="12"/>
      <c r="B276" s="12"/>
      <c r="C276" s="12"/>
      <c r="D276" s="13" t="n">
        <f aca="false">COUNTIFS(Runs!$B:$B,$A276,Runs!$H:$H,$B276,Runs!$C:$C,"ChatGPT",Runs!$D:$D,"v2")</f>
        <v>0</v>
      </c>
      <c r="E276" s="13" t="n">
        <f aca="false">COUNTIFS(Runs!$B:$B,$A276,Runs!$H:$H,$B276,Runs!$C:$C,"Gemini",Runs!$D:$D,"v2")</f>
        <v>0</v>
      </c>
      <c r="F276" s="13" t="n">
        <f aca="false">D276+E276</f>
        <v>0</v>
      </c>
      <c r="G276" s="13" t="str">
        <f aca="false">IF(AND(D276&gt;0,E276&gt;0),"yes","no")</f>
        <v>no</v>
      </c>
      <c r="H276" s="13" t="str">
        <f aca="false">IF($B276="","",IF(AND(D276&gt;=4,E276&gt;=4),"LOCKED",IF(AND(D276&gt;=2,E276&gt;=2),"CANDIDATE",IF(F276&lt;=2,"DISCARD","WEAK"))))</f>
        <v/>
      </c>
      <c r="I276" s="14" t="str">
        <f aca="false">IFERROR(ROUND(AVERAGEIFS(Runs!$K:$K,Runs!$B:$B,$A276,Runs!$H:$H,$B276,Runs!$D:$D,"v2"),0),"")</f>
        <v/>
      </c>
      <c r="J276" s="8"/>
      <c r="K276" s="15"/>
    </row>
    <row r="277" customFormat="false" ht="15" hidden="false" customHeight="true" outlineLevel="0" collapsed="false">
      <c r="A277" s="12"/>
      <c r="B277" s="12"/>
      <c r="C277" s="12"/>
      <c r="D277" s="13" t="n">
        <f aca="false">COUNTIFS(Runs!$B:$B,$A277,Runs!$H:$H,$B277,Runs!$C:$C,"ChatGPT",Runs!$D:$D,"v2")</f>
        <v>0</v>
      </c>
      <c r="E277" s="13" t="n">
        <f aca="false">COUNTIFS(Runs!$B:$B,$A277,Runs!$H:$H,$B277,Runs!$C:$C,"Gemini",Runs!$D:$D,"v2")</f>
        <v>0</v>
      </c>
      <c r="F277" s="13" t="n">
        <f aca="false">D277+E277</f>
        <v>0</v>
      </c>
      <c r="G277" s="13" t="str">
        <f aca="false">IF(AND(D277&gt;0,E277&gt;0),"yes","no")</f>
        <v>no</v>
      </c>
      <c r="H277" s="13" t="str">
        <f aca="false">IF($B277="","",IF(AND(D277&gt;=4,E277&gt;=4),"LOCKED",IF(AND(D277&gt;=2,E277&gt;=2),"CANDIDATE",IF(F277&lt;=2,"DISCARD","WEAK"))))</f>
        <v/>
      </c>
      <c r="I277" s="14" t="str">
        <f aca="false">IFERROR(ROUND(AVERAGEIFS(Runs!$K:$K,Runs!$B:$B,$A277,Runs!$H:$H,$B277,Runs!$D:$D,"v2"),0),"")</f>
        <v/>
      </c>
      <c r="J277" s="8"/>
      <c r="K277" s="15"/>
    </row>
    <row r="278" customFormat="false" ht="15" hidden="false" customHeight="true" outlineLevel="0" collapsed="false">
      <c r="A278" s="12"/>
      <c r="B278" s="12"/>
      <c r="C278" s="12"/>
      <c r="D278" s="13" t="n">
        <f aca="false">COUNTIFS(Runs!$B:$B,$A278,Runs!$H:$H,$B278,Runs!$C:$C,"ChatGPT",Runs!$D:$D,"v2")</f>
        <v>0</v>
      </c>
      <c r="E278" s="13" t="n">
        <f aca="false">COUNTIFS(Runs!$B:$B,$A278,Runs!$H:$H,$B278,Runs!$C:$C,"Gemini",Runs!$D:$D,"v2")</f>
        <v>0</v>
      </c>
      <c r="F278" s="13" t="n">
        <f aca="false">D278+E278</f>
        <v>0</v>
      </c>
      <c r="G278" s="13" t="str">
        <f aca="false">IF(AND(D278&gt;0,E278&gt;0),"yes","no")</f>
        <v>no</v>
      </c>
      <c r="H278" s="13" t="str">
        <f aca="false">IF($B278="","",IF(AND(D278&gt;=4,E278&gt;=4),"LOCKED",IF(AND(D278&gt;=2,E278&gt;=2),"CANDIDATE",IF(F278&lt;=2,"DISCARD","WEAK"))))</f>
        <v/>
      </c>
      <c r="I278" s="14" t="str">
        <f aca="false">IFERROR(ROUND(AVERAGEIFS(Runs!$K:$K,Runs!$B:$B,$A278,Runs!$H:$H,$B278,Runs!$D:$D,"v2"),0),"")</f>
        <v/>
      </c>
      <c r="J278" s="8"/>
      <c r="K278" s="15"/>
    </row>
    <row r="279" customFormat="false" ht="15" hidden="false" customHeight="true" outlineLevel="0" collapsed="false">
      <c r="A279" s="12"/>
      <c r="B279" s="12"/>
      <c r="C279" s="12"/>
      <c r="D279" s="13" t="n">
        <f aca="false">COUNTIFS(Runs!$B:$B,$A279,Runs!$H:$H,$B279,Runs!$C:$C,"ChatGPT",Runs!$D:$D,"v2")</f>
        <v>0</v>
      </c>
      <c r="E279" s="13" t="n">
        <f aca="false">COUNTIFS(Runs!$B:$B,$A279,Runs!$H:$H,$B279,Runs!$C:$C,"Gemini",Runs!$D:$D,"v2")</f>
        <v>0</v>
      </c>
      <c r="F279" s="13" t="n">
        <f aca="false">D279+E279</f>
        <v>0</v>
      </c>
      <c r="G279" s="13" t="str">
        <f aca="false">IF(AND(D279&gt;0,E279&gt;0),"yes","no")</f>
        <v>no</v>
      </c>
      <c r="H279" s="13" t="str">
        <f aca="false">IF($B279="","",IF(AND(D279&gt;=4,E279&gt;=4),"LOCKED",IF(AND(D279&gt;=2,E279&gt;=2),"CANDIDATE",IF(F279&lt;=2,"DISCARD","WEAK"))))</f>
        <v/>
      </c>
      <c r="I279" s="14" t="str">
        <f aca="false">IFERROR(ROUND(AVERAGEIFS(Runs!$K:$K,Runs!$B:$B,$A279,Runs!$H:$H,$B279,Runs!$D:$D,"v2"),0),"")</f>
        <v/>
      </c>
      <c r="J279" s="8"/>
      <c r="K279" s="15"/>
    </row>
    <row r="280" customFormat="false" ht="15" hidden="false" customHeight="true" outlineLevel="0" collapsed="false">
      <c r="A280" s="12"/>
      <c r="B280" s="12"/>
      <c r="C280" s="12"/>
      <c r="D280" s="13" t="n">
        <f aca="false">COUNTIFS(Runs!$B:$B,$A280,Runs!$H:$H,$B280,Runs!$C:$C,"ChatGPT",Runs!$D:$D,"v2")</f>
        <v>0</v>
      </c>
      <c r="E280" s="13" t="n">
        <f aca="false">COUNTIFS(Runs!$B:$B,$A280,Runs!$H:$H,$B280,Runs!$C:$C,"Gemini",Runs!$D:$D,"v2")</f>
        <v>0</v>
      </c>
      <c r="F280" s="13" t="n">
        <f aca="false">D280+E280</f>
        <v>0</v>
      </c>
      <c r="G280" s="13" t="str">
        <f aca="false">IF(AND(D280&gt;0,E280&gt;0),"yes","no")</f>
        <v>no</v>
      </c>
      <c r="H280" s="13" t="str">
        <f aca="false">IF($B280="","",IF(AND(D280&gt;=4,E280&gt;=4),"LOCKED",IF(AND(D280&gt;=2,E280&gt;=2),"CANDIDATE",IF(F280&lt;=2,"DISCARD","WEAK"))))</f>
        <v/>
      </c>
      <c r="I280" s="14" t="str">
        <f aca="false">IFERROR(ROUND(AVERAGEIFS(Runs!$K:$K,Runs!$B:$B,$A280,Runs!$H:$H,$B280,Runs!$D:$D,"v2"),0),"")</f>
        <v/>
      </c>
      <c r="J280" s="8"/>
      <c r="K280" s="15"/>
    </row>
    <row r="281" customFormat="false" ht="15" hidden="false" customHeight="true" outlineLevel="0" collapsed="false">
      <c r="A281" s="12"/>
      <c r="B281" s="12"/>
      <c r="C281" s="12"/>
      <c r="D281" s="13" t="n">
        <f aca="false">COUNTIFS(Runs!$B:$B,$A281,Runs!$H:$H,$B281,Runs!$C:$C,"ChatGPT",Runs!$D:$D,"v2")</f>
        <v>0</v>
      </c>
      <c r="E281" s="13" t="n">
        <f aca="false">COUNTIFS(Runs!$B:$B,$A281,Runs!$H:$H,$B281,Runs!$C:$C,"Gemini",Runs!$D:$D,"v2")</f>
        <v>0</v>
      </c>
      <c r="F281" s="13" t="n">
        <f aca="false">D281+E281</f>
        <v>0</v>
      </c>
      <c r="G281" s="13" t="str">
        <f aca="false">IF(AND(D281&gt;0,E281&gt;0),"yes","no")</f>
        <v>no</v>
      </c>
      <c r="H281" s="13" t="str">
        <f aca="false">IF($B281="","",IF(AND(D281&gt;=4,E281&gt;=4),"LOCKED",IF(AND(D281&gt;=2,E281&gt;=2),"CANDIDATE",IF(F281&lt;=2,"DISCARD","WEAK"))))</f>
        <v/>
      </c>
      <c r="I281" s="14" t="str">
        <f aca="false">IFERROR(ROUND(AVERAGEIFS(Runs!$K:$K,Runs!$B:$B,$A281,Runs!$H:$H,$B281,Runs!$D:$D,"v2"),0),"")</f>
        <v/>
      </c>
      <c r="J281" s="8"/>
      <c r="K281" s="15"/>
    </row>
    <row r="282" customFormat="false" ht="15" hidden="false" customHeight="true" outlineLevel="0" collapsed="false">
      <c r="A282" s="12"/>
      <c r="B282" s="12"/>
      <c r="C282" s="12"/>
      <c r="D282" s="13" t="n">
        <f aca="false">COUNTIFS(Runs!$B:$B,$A282,Runs!$H:$H,$B282,Runs!$C:$C,"ChatGPT",Runs!$D:$D,"v2")</f>
        <v>0</v>
      </c>
      <c r="E282" s="13" t="n">
        <f aca="false">COUNTIFS(Runs!$B:$B,$A282,Runs!$H:$H,$B282,Runs!$C:$C,"Gemini",Runs!$D:$D,"v2")</f>
        <v>0</v>
      </c>
      <c r="F282" s="13" t="n">
        <f aca="false">D282+E282</f>
        <v>0</v>
      </c>
      <c r="G282" s="13" t="str">
        <f aca="false">IF(AND(D282&gt;0,E282&gt;0),"yes","no")</f>
        <v>no</v>
      </c>
      <c r="H282" s="13" t="str">
        <f aca="false">IF($B282="","",IF(AND(D282&gt;=4,E282&gt;=4),"LOCKED",IF(AND(D282&gt;=2,E282&gt;=2),"CANDIDATE",IF(F282&lt;=2,"DISCARD","WEAK"))))</f>
        <v/>
      </c>
      <c r="I282" s="14" t="str">
        <f aca="false">IFERROR(ROUND(AVERAGEIFS(Runs!$K:$K,Runs!$B:$B,$A282,Runs!$H:$H,$B282,Runs!$D:$D,"v2"),0),"")</f>
        <v/>
      </c>
      <c r="J282" s="8"/>
      <c r="K282" s="15"/>
    </row>
    <row r="283" customFormat="false" ht="15" hidden="false" customHeight="true" outlineLevel="0" collapsed="false">
      <c r="A283" s="12"/>
      <c r="B283" s="12"/>
      <c r="C283" s="12"/>
      <c r="D283" s="13" t="n">
        <f aca="false">COUNTIFS(Runs!$B:$B,$A283,Runs!$H:$H,$B283,Runs!$C:$C,"ChatGPT",Runs!$D:$D,"v2")</f>
        <v>0</v>
      </c>
      <c r="E283" s="13" t="n">
        <f aca="false">COUNTIFS(Runs!$B:$B,$A283,Runs!$H:$H,$B283,Runs!$C:$C,"Gemini",Runs!$D:$D,"v2")</f>
        <v>0</v>
      </c>
      <c r="F283" s="13" t="n">
        <f aca="false">D283+E283</f>
        <v>0</v>
      </c>
      <c r="G283" s="13" t="str">
        <f aca="false">IF(AND(D283&gt;0,E283&gt;0),"yes","no")</f>
        <v>no</v>
      </c>
      <c r="H283" s="13" t="str">
        <f aca="false">IF($B283="","",IF(AND(D283&gt;=4,E283&gt;=4),"LOCKED",IF(AND(D283&gt;=2,E283&gt;=2),"CANDIDATE",IF(F283&lt;=2,"DISCARD","WEAK"))))</f>
        <v/>
      </c>
      <c r="I283" s="14" t="str">
        <f aca="false">IFERROR(ROUND(AVERAGEIFS(Runs!$K:$K,Runs!$B:$B,$A283,Runs!$H:$H,$B283,Runs!$D:$D,"v2"),0),"")</f>
        <v/>
      </c>
      <c r="J283" s="8"/>
      <c r="K283" s="15"/>
    </row>
    <row r="284" customFormat="false" ht="15" hidden="false" customHeight="true" outlineLevel="0" collapsed="false">
      <c r="A284" s="12"/>
      <c r="B284" s="12"/>
      <c r="C284" s="12"/>
      <c r="D284" s="13" t="n">
        <f aca="false">COUNTIFS(Runs!$B:$B,$A284,Runs!$H:$H,$B284,Runs!$C:$C,"ChatGPT",Runs!$D:$D,"v2")</f>
        <v>0</v>
      </c>
      <c r="E284" s="13" t="n">
        <f aca="false">COUNTIFS(Runs!$B:$B,$A284,Runs!$H:$H,$B284,Runs!$C:$C,"Gemini",Runs!$D:$D,"v2")</f>
        <v>0</v>
      </c>
      <c r="F284" s="13" t="n">
        <f aca="false">D284+E284</f>
        <v>0</v>
      </c>
      <c r="G284" s="13" t="str">
        <f aca="false">IF(AND(D284&gt;0,E284&gt;0),"yes","no")</f>
        <v>no</v>
      </c>
      <c r="H284" s="13" t="str">
        <f aca="false">IF($B284="","",IF(AND(D284&gt;=4,E284&gt;=4),"LOCKED",IF(AND(D284&gt;=2,E284&gt;=2),"CANDIDATE",IF(F284&lt;=2,"DISCARD","WEAK"))))</f>
        <v/>
      </c>
      <c r="I284" s="14" t="str">
        <f aca="false">IFERROR(ROUND(AVERAGEIFS(Runs!$K:$K,Runs!$B:$B,$A284,Runs!$H:$H,$B284,Runs!$D:$D,"v2"),0),"")</f>
        <v/>
      </c>
      <c r="J284" s="8"/>
      <c r="K284" s="15"/>
    </row>
    <row r="285" customFormat="false" ht="15" hidden="false" customHeight="true" outlineLevel="0" collapsed="false">
      <c r="A285" s="12"/>
      <c r="B285" s="12"/>
      <c r="C285" s="12"/>
      <c r="D285" s="13" t="n">
        <f aca="false">COUNTIFS(Runs!$B:$B,$A285,Runs!$H:$H,$B285,Runs!$C:$C,"ChatGPT",Runs!$D:$D,"v2")</f>
        <v>0</v>
      </c>
      <c r="E285" s="13" t="n">
        <f aca="false">COUNTIFS(Runs!$B:$B,$A285,Runs!$H:$H,$B285,Runs!$C:$C,"Gemini",Runs!$D:$D,"v2")</f>
        <v>0</v>
      </c>
      <c r="F285" s="13" t="n">
        <f aca="false">D285+E285</f>
        <v>0</v>
      </c>
      <c r="G285" s="13" t="str">
        <f aca="false">IF(AND(D285&gt;0,E285&gt;0),"yes","no")</f>
        <v>no</v>
      </c>
      <c r="H285" s="13" t="str">
        <f aca="false">IF($B285="","",IF(AND(D285&gt;=4,E285&gt;=4),"LOCKED",IF(AND(D285&gt;=2,E285&gt;=2),"CANDIDATE",IF(F285&lt;=2,"DISCARD","WEAK"))))</f>
        <v/>
      </c>
      <c r="I285" s="14" t="str">
        <f aca="false">IFERROR(ROUND(AVERAGEIFS(Runs!$K:$K,Runs!$B:$B,$A285,Runs!$H:$H,$B285,Runs!$D:$D,"v2"),0),"")</f>
        <v/>
      </c>
      <c r="J285" s="8"/>
      <c r="K285" s="15"/>
    </row>
    <row r="286" customFormat="false" ht="15" hidden="false" customHeight="true" outlineLevel="0" collapsed="false">
      <c r="A286" s="12"/>
      <c r="B286" s="12"/>
      <c r="C286" s="12"/>
      <c r="D286" s="13" t="n">
        <f aca="false">COUNTIFS(Runs!$B:$B,$A286,Runs!$H:$H,$B286,Runs!$C:$C,"ChatGPT",Runs!$D:$D,"v2")</f>
        <v>0</v>
      </c>
      <c r="E286" s="13" t="n">
        <f aca="false">COUNTIFS(Runs!$B:$B,$A286,Runs!$H:$H,$B286,Runs!$C:$C,"Gemini",Runs!$D:$D,"v2")</f>
        <v>0</v>
      </c>
      <c r="F286" s="13" t="n">
        <f aca="false">D286+E286</f>
        <v>0</v>
      </c>
      <c r="G286" s="13" t="str">
        <f aca="false">IF(AND(D286&gt;0,E286&gt;0),"yes","no")</f>
        <v>no</v>
      </c>
      <c r="H286" s="13" t="str">
        <f aca="false">IF($B286="","",IF(AND(D286&gt;=4,E286&gt;=4),"LOCKED",IF(AND(D286&gt;=2,E286&gt;=2),"CANDIDATE",IF(F286&lt;=2,"DISCARD","WEAK"))))</f>
        <v/>
      </c>
      <c r="I286" s="14" t="str">
        <f aca="false">IFERROR(ROUND(AVERAGEIFS(Runs!$K:$K,Runs!$B:$B,$A286,Runs!$H:$H,$B286,Runs!$D:$D,"v2"),0),"")</f>
        <v/>
      </c>
      <c r="J286" s="8"/>
      <c r="K286" s="15"/>
    </row>
    <row r="287" customFormat="false" ht="15" hidden="false" customHeight="true" outlineLevel="0" collapsed="false">
      <c r="A287" s="12"/>
      <c r="B287" s="12"/>
      <c r="C287" s="12"/>
      <c r="D287" s="13" t="n">
        <f aca="false">COUNTIFS(Runs!$B:$B,$A287,Runs!$H:$H,$B287,Runs!$C:$C,"ChatGPT",Runs!$D:$D,"v2")</f>
        <v>0</v>
      </c>
      <c r="E287" s="13" t="n">
        <f aca="false">COUNTIFS(Runs!$B:$B,$A287,Runs!$H:$H,$B287,Runs!$C:$C,"Gemini",Runs!$D:$D,"v2")</f>
        <v>0</v>
      </c>
      <c r="F287" s="13" t="n">
        <f aca="false">D287+E287</f>
        <v>0</v>
      </c>
      <c r="G287" s="13" t="str">
        <f aca="false">IF(AND(D287&gt;0,E287&gt;0),"yes","no")</f>
        <v>no</v>
      </c>
      <c r="H287" s="13" t="str">
        <f aca="false">IF($B287="","",IF(AND(D287&gt;=4,E287&gt;=4),"LOCKED",IF(AND(D287&gt;=2,E287&gt;=2),"CANDIDATE",IF(F287&lt;=2,"DISCARD","WEAK"))))</f>
        <v/>
      </c>
      <c r="I287" s="14" t="str">
        <f aca="false">IFERROR(ROUND(AVERAGEIFS(Runs!$K:$K,Runs!$B:$B,$A287,Runs!$H:$H,$B287,Runs!$D:$D,"v2"),0),"")</f>
        <v/>
      </c>
      <c r="J287" s="8"/>
      <c r="K287" s="15"/>
    </row>
    <row r="288" customFormat="false" ht="15" hidden="false" customHeight="true" outlineLevel="0" collapsed="false">
      <c r="A288" s="12"/>
      <c r="B288" s="12"/>
      <c r="C288" s="12"/>
      <c r="D288" s="13" t="n">
        <f aca="false">COUNTIFS(Runs!$B:$B,$A288,Runs!$H:$H,$B288,Runs!$C:$C,"ChatGPT",Runs!$D:$D,"v2")</f>
        <v>0</v>
      </c>
      <c r="E288" s="13" t="n">
        <f aca="false">COUNTIFS(Runs!$B:$B,$A288,Runs!$H:$H,$B288,Runs!$C:$C,"Gemini",Runs!$D:$D,"v2")</f>
        <v>0</v>
      </c>
      <c r="F288" s="13" t="n">
        <f aca="false">D288+E288</f>
        <v>0</v>
      </c>
      <c r="G288" s="13" t="str">
        <f aca="false">IF(AND(D288&gt;0,E288&gt;0),"yes","no")</f>
        <v>no</v>
      </c>
      <c r="H288" s="13" t="str">
        <f aca="false">IF($B288="","",IF(AND(D288&gt;=4,E288&gt;=4),"LOCKED",IF(AND(D288&gt;=2,E288&gt;=2),"CANDIDATE",IF(F288&lt;=2,"DISCARD","WEAK"))))</f>
        <v/>
      </c>
      <c r="I288" s="14" t="str">
        <f aca="false">IFERROR(ROUND(AVERAGEIFS(Runs!$K:$K,Runs!$B:$B,$A288,Runs!$H:$H,$B288,Runs!$D:$D,"v2"),0),"")</f>
        <v/>
      </c>
      <c r="J288" s="8"/>
      <c r="K288" s="15"/>
    </row>
    <row r="289" customFormat="false" ht="15" hidden="false" customHeight="true" outlineLevel="0" collapsed="false">
      <c r="A289" s="12"/>
      <c r="B289" s="12"/>
      <c r="C289" s="12"/>
      <c r="D289" s="13" t="n">
        <f aca="false">COUNTIFS(Runs!$B:$B,$A289,Runs!$H:$H,$B289,Runs!$C:$C,"ChatGPT",Runs!$D:$D,"v2")</f>
        <v>0</v>
      </c>
      <c r="E289" s="13" t="n">
        <f aca="false">COUNTIFS(Runs!$B:$B,$A289,Runs!$H:$H,$B289,Runs!$C:$C,"Gemini",Runs!$D:$D,"v2")</f>
        <v>0</v>
      </c>
      <c r="F289" s="13" t="n">
        <f aca="false">D289+E289</f>
        <v>0</v>
      </c>
      <c r="G289" s="13" t="str">
        <f aca="false">IF(AND(D289&gt;0,E289&gt;0),"yes","no")</f>
        <v>no</v>
      </c>
      <c r="H289" s="13" t="str">
        <f aca="false">IF($B289="","",IF(AND(D289&gt;=4,E289&gt;=4),"LOCKED",IF(AND(D289&gt;=2,E289&gt;=2),"CANDIDATE",IF(F289&lt;=2,"DISCARD","WEAK"))))</f>
        <v/>
      </c>
      <c r="I289" s="14" t="str">
        <f aca="false">IFERROR(ROUND(AVERAGEIFS(Runs!$K:$K,Runs!$B:$B,$A289,Runs!$H:$H,$B289,Runs!$D:$D,"v2"),0),"")</f>
        <v/>
      </c>
      <c r="J289" s="8"/>
      <c r="K289" s="15"/>
    </row>
    <row r="290" customFormat="false" ht="15" hidden="false" customHeight="true" outlineLevel="0" collapsed="false">
      <c r="A290" s="12"/>
      <c r="B290" s="12"/>
      <c r="C290" s="12"/>
      <c r="D290" s="13" t="n">
        <f aca="false">COUNTIFS(Runs!$B:$B,$A290,Runs!$H:$H,$B290,Runs!$C:$C,"ChatGPT",Runs!$D:$D,"v2")</f>
        <v>0</v>
      </c>
      <c r="E290" s="13" t="n">
        <f aca="false">COUNTIFS(Runs!$B:$B,$A290,Runs!$H:$H,$B290,Runs!$C:$C,"Gemini",Runs!$D:$D,"v2")</f>
        <v>0</v>
      </c>
      <c r="F290" s="13" t="n">
        <f aca="false">D290+E290</f>
        <v>0</v>
      </c>
      <c r="G290" s="13" t="str">
        <f aca="false">IF(AND(D290&gt;0,E290&gt;0),"yes","no")</f>
        <v>no</v>
      </c>
      <c r="H290" s="13" t="str">
        <f aca="false">IF($B290="","",IF(AND(D290&gt;=4,E290&gt;=4),"LOCKED",IF(AND(D290&gt;=2,E290&gt;=2),"CANDIDATE",IF(F290&lt;=2,"DISCARD","WEAK"))))</f>
        <v/>
      </c>
      <c r="I290" s="14" t="str">
        <f aca="false">IFERROR(ROUND(AVERAGEIFS(Runs!$K:$K,Runs!$B:$B,$A290,Runs!$H:$H,$B290,Runs!$D:$D,"v2"),0),"")</f>
        <v/>
      </c>
      <c r="J290" s="8"/>
      <c r="K290" s="15"/>
    </row>
    <row r="291" customFormat="false" ht="15" hidden="false" customHeight="true" outlineLevel="0" collapsed="false">
      <c r="A291" s="12"/>
      <c r="B291" s="12"/>
      <c r="C291" s="12"/>
      <c r="D291" s="13" t="n">
        <f aca="false">COUNTIFS(Runs!$B:$B,$A291,Runs!$H:$H,$B291,Runs!$C:$C,"ChatGPT",Runs!$D:$D,"v2")</f>
        <v>0</v>
      </c>
      <c r="E291" s="13" t="n">
        <f aca="false">COUNTIFS(Runs!$B:$B,$A291,Runs!$H:$H,$B291,Runs!$C:$C,"Gemini",Runs!$D:$D,"v2")</f>
        <v>0</v>
      </c>
      <c r="F291" s="13" t="n">
        <f aca="false">D291+E291</f>
        <v>0</v>
      </c>
      <c r="G291" s="13" t="str">
        <f aca="false">IF(AND(D291&gt;0,E291&gt;0),"yes","no")</f>
        <v>no</v>
      </c>
      <c r="H291" s="13" t="str">
        <f aca="false">IF($B291="","",IF(AND(D291&gt;=4,E291&gt;=4),"LOCKED",IF(AND(D291&gt;=2,E291&gt;=2),"CANDIDATE",IF(F291&lt;=2,"DISCARD","WEAK"))))</f>
        <v/>
      </c>
      <c r="I291" s="14" t="str">
        <f aca="false">IFERROR(ROUND(AVERAGEIFS(Runs!$K:$K,Runs!$B:$B,$A291,Runs!$H:$H,$B291,Runs!$D:$D,"v2"),0),"")</f>
        <v/>
      </c>
      <c r="J291" s="8"/>
      <c r="K291" s="15"/>
    </row>
    <row r="292" customFormat="false" ht="15" hidden="false" customHeight="true" outlineLevel="0" collapsed="false">
      <c r="A292" s="12"/>
      <c r="B292" s="12"/>
      <c r="C292" s="12"/>
      <c r="D292" s="13" t="n">
        <f aca="false">COUNTIFS(Runs!$B:$B,$A292,Runs!$H:$H,$B292,Runs!$C:$C,"ChatGPT",Runs!$D:$D,"v2")</f>
        <v>0</v>
      </c>
      <c r="E292" s="13" t="n">
        <f aca="false">COUNTIFS(Runs!$B:$B,$A292,Runs!$H:$H,$B292,Runs!$C:$C,"Gemini",Runs!$D:$D,"v2")</f>
        <v>0</v>
      </c>
      <c r="F292" s="13" t="n">
        <f aca="false">D292+E292</f>
        <v>0</v>
      </c>
      <c r="G292" s="13" t="str">
        <f aca="false">IF(AND(D292&gt;0,E292&gt;0),"yes","no")</f>
        <v>no</v>
      </c>
      <c r="H292" s="13" t="str">
        <f aca="false">IF($B292="","",IF(AND(D292&gt;=4,E292&gt;=4),"LOCKED",IF(AND(D292&gt;=2,E292&gt;=2),"CANDIDATE",IF(F292&lt;=2,"DISCARD","WEAK"))))</f>
        <v/>
      </c>
      <c r="I292" s="14" t="str">
        <f aca="false">IFERROR(ROUND(AVERAGEIFS(Runs!$K:$K,Runs!$B:$B,$A292,Runs!$H:$H,$B292,Runs!$D:$D,"v2"),0),"")</f>
        <v/>
      </c>
      <c r="J292" s="8"/>
      <c r="K292" s="15"/>
    </row>
    <row r="293" customFormat="false" ht="15" hidden="false" customHeight="true" outlineLevel="0" collapsed="false">
      <c r="A293" s="12"/>
      <c r="B293" s="12"/>
      <c r="C293" s="12"/>
      <c r="D293" s="13" t="n">
        <f aca="false">COUNTIFS(Runs!$B:$B,$A293,Runs!$H:$H,$B293,Runs!$C:$C,"ChatGPT",Runs!$D:$D,"v2")</f>
        <v>0</v>
      </c>
      <c r="E293" s="13" t="n">
        <f aca="false">COUNTIFS(Runs!$B:$B,$A293,Runs!$H:$H,$B293,Runs!$C:$C,"Gemini",Runs!$D:$D,"v2")</f>
        <v>0</v>
      </c>
      <c r="F293" s="13" t="n">
        <f aca="false">D293+E293</f>
        <v>0</v>
      </c>
      <c r="G293" s="13" t="str">
        <f aca="false">IF(AND(D293&gt;0,E293&gt;0),"yes","no")</f>
        <v>no</v>
      </c>
      <c r="H293" s="13" t="str">
        <f aca="false">IF($B293="","",IF(AND(D293&gt;=4,E293&gt;=4),"LOCKED",IF(AND(D293&gt;=2,E293&gt;=2),"CANDIDATE",IF(F293&lt;=2,"DISCARD","WEAK"))))</f>
        <v/>
      </c>
      <c r="I293" s="14" t="str">
        <f aca="false">IFERROR(ROUND(AVERAGEIFS(Runs!$K:$K,Runs!$B:$B,$A293,Runs!$H:$H,$B293,Runs!$D:$D,"v2"),0),"")</f>
        <v/>
      </c>
      <c r="J293" s="8"/>
      <c r="K293" s="15"/>
    </row>
    <row r="294" customFormat="false" ht="15" hidden="false" customHeight="true" outlineLevel="0" collapsed="false">
      <c r="A294" s="12"/>
      <c r="B294" s="12"/>
      <c r="C294" s="12"/>
      <c r="D294" s="13" t="n">
        <f aca="false">COUNTIFS(Runs!$B:$B,$A294,Runs!$H:$H,$B294,Runs!$C:$C,"ChatGPT",Runs!$D:$D,"v2")</f>
        <v>0</v>
      </c>
      <c r="E294" s="13" t="n">
        <f aca="false">COUNTIFS(Runs!$B:$B,$A294,Runs!$H:$H,$B294,Runs!$C:$C,"Gemini",Runs!$D:$D,"v2")</f>
        <v>0</v>
      </c>
      <c r="F294" s="13" t="n">
        <f aca="false">D294+E294</f>
        <v>0</v>
      </c>
      <c r="G294" s="13" t="str">
        <f aca="false">IF(AND(D294&gt;0,E294&gt;0),"yes","no")</f>
        <v>no</v>
      </c>
      <c r="H294" s="13" t="str">
        <f aca="false">IF($B294="","",IF(AND(D294&gt;=4,E294&gt;=4),"LOCKED",IF(AND(D294&gt;=2,E294&gt;=2),"CANDIDATE",IF(F294&lt;=2,"DISCARD","WEAK"))))</f>
        <v/>
      </c>
      <c r="I294" s="14" t="str">
        <f aca="false">IFERROR(ROUND(AVERAGEIFS(Runs!$K:$K,Runs!$B:$B,$A294,Runs!$H:$H,$B294,Runs!$D:$D,"v2"),0),"")</f>
        <v/>
      </c>
      <c r="J294" s="8"/>
      <c r="K294" s="15"/>
    </row>
    <row r="295" customFormat="false" ht="15" hidden="false" customHeight="true" outlineLevel="0" collapsed="false">
      <c r="A295" s="12"/>
      <c r="B295" s="12"/>
      <c r="C295" s="12"/>
      <c r="D295" s="13" t="n">
        <f aca="false">COUNTIFS(Runs!$B:$B,$A295,Runs!$H:$H,$B295,Runs!$C:$C,"ChatGPT",Runs!$D:$D,"v2")</f>
        <v>0</v>
      </c>
      <c r="E295" s="13" t="n">
        <f aca="false">COUNTIFS(Runs!$B:$B,$A295,Runs!$H:$H,$B295,Runs!$C:$C,"Gemini",Runs!$D:$D,"v2")</f>
        <v>0</v>
      </c>
      <c r="F295" s="13" t="n">
        <f aca="false">D295+E295</f>
        <v>0</v>
      </c>
      <c r="G295" s="13" t="str">
        <f aca="false">IF(AND(D295&gt;0,E295&gt;0),"yes","no")</f>
        <v>no</v>
      </c>
      <c r="H295" s="13" t="str">
        <f aca="false">IF($B295="","",IF(AND(D295&gt;=4,E295&gt;=4),"LOCKED",IF(AND(D295&gt;=2,E295&gt;=2),"CANDIDATE",IF(F295&lt;=2,"DISCARD","WEAK"))))</f>
        <v/>
      </c>
      <c r="I295" s="14" t="str">
        <f aca="false">IFERROR(ROUND(AVERAGEIFS(Runs!$K:$K,Runs!$B:$B,$A295,Runs!$H:$H,$B295,Runs!$D:$D,"v2"),0),"")</f>
        <v/>
      </c>
      <c r="J295" s="8"/>
      <c r="K295" s="15"/>
    </row>
    <row r="296" customFormat="false" ht="15" hidden="false" customHeight="true" outlineLevel="0" collapsed="false">
      <c r="A296" s="12"/>
      <c r="B296" s="12"/>
      <c r="C296" s="12"/>
      <c r="D296" s="13" t="n">
        <f aca="false">COUNTIFS(Runs!$B:$B,$A296,Runs!$H:$H,$B296,Runs!$C:$C,"ChatGPT",Runs!$D:$D,"v2")</f>
        <v>0</v>
      </c>
      <c r="E296" s="13" t="n">
        <f aca="false">COUNTIFS(Runs!$B:$B,$A296,Runs!$H:$H,$B296,Runs!$C:$C,"Gemini",Runs!$D:$D,"v2")</f>
        <v>0</v>
      </c>
      <c r="F296" s="13" t="n">
        <f aca="false">D296+E296</f>
        <v>0</v>
      </c>
      <c r="G296" s="13" t="str">
        <f aca="false">IF(AND(D296&gt;0,E296&gt;0),"yes","no")</f>
        <v>no</v>
      </c>
      <c r="H296" s="13" t="str">
        <f aca="false">IF($B296="","",IF(AND(D296&gt;=4,E296&gt;=4),"LOCKED",IF(AND(D296&gt;=2,E296&gt;=2),"CANDIDATE",IF(F296&lt;=2,"DISCARD","WEAK"))))</f>
        <v/>
      </c>
      <c r="I296" s="14" t="str">
        <f aca="false">IFERROR(ROUND(AVERAGEIFS(Runs!$K:$K,Runs!$B:$B,$A296,Runs!$H:$H,$B296,Runs!$D:$D,"v2"),0),"")</f>
        <v/>
      </c>
      <c r="J296" s="8"/>
      <c r="K296" s="15"/>
    </row>
    <row r="297" customFormat="false" ht="15" hidden="false" customHeight="true" outlineLevel="0" collapsed="false">
      <c r="A297" s="12"/>
      <c r="B297" s="12"/>
      <c r="C297" s="12"/>
      <c r="D297" s="13" t="n">
        <f aca="false">COUNTIFS(Runs!$B:$B,$A297,Runs!$H:$H,$B297,Runs!$C:$C,"ChatGPT",Runs!$D:$D,"v2")</f>
        <v>0</v>
      </c>
      <c r="E297" s="13" t="n">
        <f aca="false">COUNTIFS(Runs!$B:$B,$A297,Runs!$H:$H,$B297,Runs!$C:$C,"Gemini",Runs!$D:$D,"v2")</f>
        <v>0</v>
      </c>
      <c r="F297" s="13" t="n">
        <f aca="false">D297+E297</f>
        <v>0</v>
      </c>
      <c r="G297" s="13" t="str">
        <f aca="false">IF(AND(D297&gt;0,E297&gt;0),"yes","no")</f>
        <v>no</v>
      </c>
      <c r="H297" s="13" t="str">
        <f aca="false">IF($B297="","",IF(AND(D297&gt;=4,E297&gt;=4),"LOCKED",IF(AND(D297&gt;=2,E297&gt;=2),"CANDIDATE",IF(F297&lt;=2,"DISCARD","WEAK"))))</f>
        <v/>
      </c>
      <c r="I297" s="14" t="str">
        <f aca="false">IFERROR(ROUND(AVERAGEIFS(Runs!$K:$K,Runs!$B:$B,$A297,Runs!$H:$H,$B297,Runs!$D:$D,"v2"),0),"")</f>
        <v/>
      </c>
      <c r="J297" s="8"/>
      <c r="K297" s="15"/>
    </row>
    <row r="298" customFormat="false" ht="15" hidden="false" customHeight="true" outlineLevel="0" collapsed="false">
      <c r="A298" s="12"/>
      <c r="B298" s="12"/>
      <c r="C298" s="12"/>
      <c r="D298" s="13" t="n">
        <f aca="false">COUNTIFS(Runs!$B:$B,$A298,Runs!$H:$H,$B298,Runs!$C:$C,"ChatGPT",Runs!$D:$D,"v2")</f>
        <v>0</v>
      </c>
      <c r="E298" s="13" t="n">
        <f aca="false">COUNTIFS(Runs!$B:$B,$A298,Runs!$H:$H,$B298,Runs!$C:$C,"Gemini",Runs!$D:$D,"v2")</f>
        <v>0</v>
      </c>
      <c r="F298" s="13" t="n">
        <f aca="false">D298+E298</f>
        <v>0</v>
      </c>
      <c r="G298" s="13" t="str">
        <f aca="false">IF(AND(D298&gt;0,E298&gt;0),"yes","no")</f>
        <v>no</v>
      </c>
      <c r="H298" s="13" t="str">
        <f aca="false">IF($B298="","",IF(AND(D298&gt;=4,E298&gt;=4),"LOCKED",IF(AND(D298&gt;=2,E298&gt;=2),"CANDIDATE",IF(F298&lt;=2,"DISCARD","WEAK"))))</f>
        <v/>
      </c>
      <c r="I298" s="14" t="str">
        <f aca="false">IFERROR(ROUND(AVERAGEIFS(Runs!$K:$K,Runs!$B:$B,$A298,Runs!$H:$H,$B298,Runs!$D:$D,"v2"),0),"")</f>
        <v/>
      </c>
      <c r="J298" s="8"/>
      <c r="K298" s="15"/>
    </row>
    <row r="299" customFormat="false" ht="15" hidden="false" customHeight="true" outlineLevel="0" collapsed="false">
      <c r="A299" s="12"/>
      <c r="B299" s="12"/>
      <c r="C299" s="12"/>
      <c r="D299" s="13" t="n">
        <f aca="false">COUNTIFS(Runs!$B:$B,$A299,Runs!$H:$H,$B299,Runs!$C:$C,"ChatGPT",Runs!$D:$D,"v2")</f>
        <v>0</v>
      </c>
      <c r="E299" s="13" t="n">
        <f aca="false">COUNTIFS(Runs!$B:$B,$A299,Runs!$H:$H,$B299,Runs!$C:$C,"Gemini",Runs!$D:$D,"v2")</f>
        <v>0</v>
      </c>
      <c r="F299" s="13" t="n">
        <f aca="false">D299+E299</f>
        <v>0</v>
      </c>
      <c r="G299" s="13" t="str">
        <f aca="false">IF(AND(D299&gt;0,E299&gt;0),"yes","no")</f>
        <v>no</v>
      </c>
      <c r="H299" s="13" t="str">
        <f aca="false">IF($B299="","",IF(AND(D299&gt;=4,E299&gt;=4),"LOCKED",IF(AND(D299&gt;=2,E299&gt;=2),"CANDIDATE",IF(F299&lt;=2,"DISCARD","WEAK"))))</f>
        <v/>
      </c>
      <c r="I299" s="14" t="str">
        <f aca="false">IFERROR(ROUND(AVERAGEIFS(Runs!$K:$K,Runs!$B:$B,$A299,Runs!$H:$H,$B299,Runs!$D:$D,"v2"),0),"")</f>
        <v/>
      </c>
      <c r="J299" s="8"/>
      <c r="K299" s="15"/>
    </row>
    <row r="300" customFormat="false" ht="15" hidden="false" customHeight="true" outlineLevel="0" collapsed="false">
      <c r="A300" s="12"/>
      <c r="B300" s="12"/>
      <c r="C300" s="12"/>
      <c r="D300" s="13" t="n">
        <f aca="false">COUNTIFS(Runs!$B:$B,$A300,Runs!$H:$H,$B300,Runs!$C:$C,"ChatGPT",Runs!$D:$D,"v2")</f>
        <v>0</v>
      </c>
      <c r="E300" s="13" t="n">
        <f aca="false">COUNTIFS(Runs!$B:$B,$A300,Runs!$H:$H,$B300,Runs!$C:$C,"Gemini",Runs!$D:$D,"v2")</f>
        <v>0</v>
      </c>
      <c r="F300" s="13" t="n">
        <f aca="false">D300+E300</f>
        <v>0</v>
      </c>
      <c r="G300" s="13" t="str">
        <f aca="false">IF(AND(D300&gt;0,E300&gt;0),"yes","no")</f>
        <v>no</v>
      </c>
      <c r="H300" s="13" t="str">
        <f aca="false">IF($B300="","",IF(AND(D300&gt;=4,E300&gt;=4),"LOCKED",IF(AND(D300&gt;=2,E300&gt;=2),"CANDIDATE",IF(F300&lt;=2,"DISCARD","WEAK"))))</f>
        <v/>
      </c>
      <c r="I300" s="14" t="str">
        <f aca="false">IFERROR(ROUND(AVERAGEIFS(Runs!$K:$K,Runs!$B:$B,$A300,Runs!$H:$H,$B300,Runs!$D:$D,"v2"),0),"")</f>
        <v/>
      </c>
      <c r="J300" s="8"/>
      <c r="K300" s="15"/>
    </row>
    <row r="301" customFormat="false" ht="15" hidden="false" customHeight="true" outlineLevel="0" collapsed="false">
      <c r="A301" s="12"/>
      <c r="B301" s="12"/>
      <c r="C301" s="12"/>
      <c r="D301" s="13" t="n">
        <f aca="false">COUNTIFS(Runs!$B:$B,$A301,Runs!$H:$H,$B301,Runs!$C:$C,"ChatGPT",Runs!$D:$D,"v2")</f>
        <v>0</v>
      </c>
      <c r="E301" s="13" t="n">
        <f aca="false">COUNTIFS(Runs!$B:$B,$A301,Runs!$H:$H,$B301,Runs!$C:$C,"Gemini",Runs!$D:$D,"v2")</f>
        <v>0</v>
      </c>
      <c r="F301" s="13" t="n">
        <f aca="false">D301+E301</f>
        <v>0</v>
      </c>
      <c r="G301" s="13" t="str">
        <f aca="false">IF(AND(D301&gt;0,E301&gt;0),"yes","no")</f>
        <v>no</v>
      </c>
      <c r="H301" s="13" t="str">
        <f aca="false">IF($B301="","",IF(AND(D301&gt;=4,E301&gt;=4),"LOCKED",IF(AND(D301&gt;=2,E301&gt;=2),"CANDIDATE",IF(F301&lt;=2,"DISCARD","WEAK"))))</f>
        <v/>
      </c>
      <c r="I301" s="14" t="str">
        <f aca="false">IFERROR(ROUND(AVERAGEIFS(Runs!$K:$K,Runs!$B:$B,$A301,Runs!$H:$H,$B301,Runs!$D:$D,"v2"),0),"")</f>
        <v/>
      </c>
      <c r="J301" s="8"/>
      <c r="K301" s="15"/>
    </row>
    <row r="302" customFormat="false" ht="15" hidden="false" customHeight="true" outlineLevel="0" collapsed="false">
      <c r="A302" s="12"/>
      <c r="B302" s="12"/>
      <c r="C302" s="12"/>
      <c r="D302" s="13" t="n">
        <f aca="false">COUNTIFS(Runs!$B:$B,$A302,Runs!$H:$H,$B302,Runs!$C:$C,"ChatGPT",Runs!$D:$D,"v2")</f>
        <v>0</v>
      </c>
      <c r="E302" s="13" t="n">
        <f aca="false">COUNTIFS(Runs!$B:$B,$A302,Runs!$H:$H,$B302,Runs!$C:$C,"Gemini",Runs!$D:$D,"v2")</f>
        <v>0</v>
      </c>
      <c r="F302" s="13" t="n">
        <f aca="false">D302+E302</f>
        <v>0</v>
      </c>
      <c r="G302" s="13" t="str">
        <f aca="false">IF(AND(D302&gt;0,E302&gt;0),"yes","no")</f>
        <v>no</v>
      </c>
      <c r="H302" s="13" t="str">
        <f aca="false">IF($B302="","",IF(AND(D302&gt;=4,E302&gt;=4),"LOCKED",IF(AND(D302&gt;=2,E302&gt;=2),"CANDIDATE",IF(F302&lt;=2,"DISCARD","WEAK"))))</f>
        <v/>
      </c>
      <c r="I302" s="14" t="str">
        <f aca="false">IFERROR(ROUND(AVERAGEIFS(Runs!$K:$K,Runs!$B:$B,$A302,Runs!$H:$H,$B302,Runs!$D:$D,"v2"),0),"")</f>
        <v/>
      </c>
      <c r="J302" s="8"/>
      <c r="K302" s="15"/>
    </row>
    <row r="303" customFormat="false" ht="15" hidden="false" customHeight="true" outlineLevel="0" collapsed="false">
      <c r="A303" s="12"/>
      <c r="B303" s="12"/>
      <c r="C303" s="12"/>
      <c r="D303" s="13" t="n">
        <f aca="false">COUNTIFS(Runs!$B:$B,$A303,Runs!$H:$H,$B303,Runs!$C:$C,"ChatGPT",Runs!$D:$D,"v2")</f>
        <v>0</v>
      </c>
      <c r="E303" s="13" t="n">
        <f aca="false">COUNTIFS(Runs!$B:$B,$A303,Runs!$H:$H,$B303,Runs!$C:$C,"Gemini",Runs!$D:$D,"v2")</f>
        <v>0</v>
      </c>
      <c r="F303" s="13" t="n">
        <f aca="false">D303+E303</f>
        <v>0</v>
      </c>
      <c r="G303" s="13" t="str">
        <f aca="false">IF(AND(D303&gt;0,E303&gt;0),"yes","no")</f>
        <v>no</v>
      </c>
      <c r="H303" s="13" t="str">
        <f aca="false">IF($B303="","",IF(AND(D303&gt;=4,E303&gt;=4),"LOCKED",IF(AND(D303&gt;=2,E303&gt;=2),"CANDIDATE",IF(F303&lt;=2,"DISCARD","WEAK"))))</f>
        <v/>
      </c>
      <c r="I303" s="14" t="str">
        <f aca="false">IFERROR(ROUND(AVERAGEIFS(Runs!$K:$K,Runs!$B:$B,$A303,Runs!$H:$H,$B303,Runs!$D:$D,"v2"),0),"")</f>
        <v/>
      </c>
      <c r="J303" s="8"/>
      <c r="K303" s="15"/>
    </row>
    <row r="304" customFormat="false" ht="15" hidden="false" customHeight="true" outlineLevel="0" collapsed="false">
      <c r="A304" s="12"/>
      <c r="B304" s="12"/>
      <c r="C304" s="12"/>
      <c r="D304" s="13" t="n">
        <f aca="false">COUNTIFS(Runs!$B:$B,$A304,Runs!$H:$H,$B304,Runs!$C:$C,"ChatGPT",Runs!$D:$D,"v2")</f>
        <v>0</v>
      </c>
      <c r="E304" s="13" t="n">
        <f aca="false">COUNTIFS(Runs!$B:$B,$A304,Runs!$H:$H,$B304,Runs!$C:$C,"Gemini",Runs!$D:$D,"v2")</f>
        <v>0</v>
      </c>
      <c r="F304" s="13" t="n">
        <f aca="false">D304+E304</f>
        <v>0</v>
      </c>
      <c r="G304" s="13" t="str">
        <f aca="false">IF(AND(D304&gt;0,E304&gt;0),"yes","no")</f>
        <v>no</v>
      </c>
      <c r="H304" s="13" t="str">
        <f aca="false">IF($B304="","",IF(AND(D304&gt;=4,E304&gt;=4),"LOCKED",IF(AND(D304&gt;=2,E304&gt;=2),"CANDIDATE",IF(F304&lt;=2,"DISCARD","WEAK"))))</f>
        <v/>
      </c>
      <c r="I304" s="14" t="str">
        <f aca="false">IFERROR(ROUND(AVERAGEIFS(Runs!$K:$K,Runs!$B:$B,$A304,Runs!$H:$H,$B304,Runs!$D:$D,"v2"),0),"")</f>
        <v/>
      </c>
      <c r="J304" s="8"/>
      <c r="K304" s="15"/>
    </row>
    <row r="305" customFormat="false" ht="15" hidden="false" customHeight="true" outlineLevel="0" collapsed="false">
      <c r="A305" s="12"/>
      <c r="B305" s="12"/>
      <c r="C305" s="12"/>
      <c r="D305" s="13" t="n">
        <f aca="false">COUNTIFS(Runs!$B:$B,$A305,Runs!$H:$H,$B305,Runs!$C:$C,"ChatGPT",Runs!$D:$D,"v2")</f>
        <v>0</v>
      </c>
      <c r="E305" s="13" t="n">
        <f aca="false">COUNTIFS(Runs!$B:$B,$A305,Runs!$H:$H,$B305,Runs!$C:$C,"Gemini",Runs!$D:$D,"v2")</f>
        <v>0</v>
      </c>
      <c r="F305" s="13" t="n">
        <f aca="false">D305+E305</f>
        <v>0</v>
      </c>
      <c r="G305" s="13" t="str">
        <f aca="false">IF(AND(D305&gt;0,E305&gt;0),"yes","no")</f>
        <v>no</v>
      </c>
      <c r="H305" s="13" t="str">
        <f aca="false">IF($B305="","",IF(AND(D305&gt;=4,E305&gt;=4),"LOCKED",IF(AND(D305&gt;=2,E305&gt;=2),"CANDIDATE",IF(F305&lt;=2,"DISCARD","WEAK"))))</f>
        <v/>
      </c>
      <c r="I305" s="14" t="str">
        <f aca="false">IFERROR(ROUND(AVERAGEIFS(Runs!$K:$K,Runs!$B:$B,$A305,Runs!$H:$H,$B305,Runs!$D:$D,"v2"),0),"")</f>
        <v/>
      </c>
      <c r="J305" s="8"/>
      <c r="K305" s="15"/>
    </row>
    <row r="306" customFormat="false" ht="15" hidden="false" customHeight="true" outlineLevel="0" collapsed="false">
      <c r="A306" s="12"/>
      <c r="B306" s="12"/>
      <c r="C306" s="12"/>
      <c r="D306" s="13" t="n">
        <f aca="false">COUNTIFS(Runs!$B:$B,$A306,Runs!$H:$H,$B306,Runs!$C:$C,"ChatGPT",Runs!$D:$D,"v2")</f>
        <v>0</v>
      </c>
      <c r="E306" s="13" t="n">
        <f aca="false">COUNTIFS(Runs!$B:$B,$A306,Runs!$H:$H,$B306,Runs!$C:$C,"Gemini",Runs!$D:$D,"v2")</f>
        <v>0</v>
      </c>
      <c r="F306" s="13" t="n">
        <f aca="false">D306+E306</f>
        <v>0</v>
      </c>
      <c r="G306" s="13" t="str">
        <f aca="false">IF(AND(D306&gt;0,E306&gt;0),"yes","no")</f>
        <v>no</v>
      </c>
      <c r="H306" s="13" t="str">
        <f aca="false">IF($B306="","",IF(AND(D306&gt;=4,E306&gt;=4),"LOCKED",IF(AND(D306&gt;=2,E306&gt;=2),"CANDIDATE",IF(F306&lt;=2,"DISCARD","WEAK"))))</f>
        <v/>
      </c>
      <c r="I306" s="14" t="str">
        <f aca="false">IFERROR(ROUND(AVERAGEIFS(Runs!$K:$K,Runs!$B:$B,$A306,Runs!$H:$H,$B306,Runs!$D:$D,"v2"),0),"")</f>
        <v/>
      </c>
      <c r="J306" s="8"/>
      <c r="K306" s="15"/>
    </row>
    <row r="307" customFormat="false" ht="15" hidden="false" customHeight="true" outlineLevel="0" collapsed="false">
      <c r="A307" s="12"/>
      <c r="B307" s="12"/>
      <c r="C307" s="12"/>
      <c r="D307" s="13" t="n">
        <f aca="false">COUNTIFS(Runs!$B:$B,$A307,Runs!$H:$H,$B307,Runs!$C:$C,"ChatGPT",Runs!$D:$D,"v2")</f>
        <v>0</v>
      </c>
      <c r="E307" s="13" t="n">
        <f aca="false">COUNTIFS(Runs!$B:$B,$A307,Runs!$H:$H,$B307,Runs!$C:$C,"Gemini",Runs!$D:$D,"v2")</f>
        <v>0</v>
      </c>
      <c r="F307" s="13" t="n">
        <f aca="false">D307+E307</f>
        <v>0</v>
      </c>
      <c r="G307" s="13" t="str">
        <f aca="false">IF(AND(D307&gt;0,E307&gt;0),"yes","no")</f>
        <v>no</v>
      </c>
      <c r="H307" s="13" t="str">
        <f aca="false">IF($B307="","",IF(AND(D307&gt;=4,E307&gt;=4),"LOCKED",IF(AND(D307&gt;=2,E307&gt;=2),"CANDIDATE",IF(F307&lt;=2,"DISCARD","WEAK"))))</f>
        <v/>
      </c>
      <c r="I307" s="14" t="str">
        <f aca="false">IFERROR(ROUND(AVERAGEIFS(Runs!$K:$K,Runs!$B:$B,$A307,Runs!$H:$H,$B307,Runs!$D:$D,"v2"),0),"")</f>
        <v/>
      </c>
      <c r="J307" s="8"/>
      <c r="K307" s="15"/>
    </row>
    <row r="308" customFormat="false" ht="15" hidden="false" customHeight="true" outlineLevel="0" collapsed="false">
      <c r="A308" s="12"/>
      <c r="B308" s="12"/>
      <c r="C308" s="12"/>
      <c r="D308" s="13" t="n">
        <f aca="false">COUNTIFS(Runs!$B:$B,$A308,Runs!$H:$H,$B308,Runs!$C:$C,"ChatGPT",Runs!$D:$D,"v2")</f>
        <v>0</v>
      </c>
      <c r="E308" s="13" t="n">
        <f aca="false">COUNTIFS(Runs!$B:$B,$A308,Runs!$H:$H,$B308,Runs!$C:$C,"Gemini",Runs!$D:$D,"v2")</f>
        <v>0</v>
      </c>
      <c r="F308" s="13" t="n">
        <f aca="false">D308+E308</f>
        <v>0</v>
      </c>
      <c r="G308" s="13" t="str">
        <f aca="false">IF(AND(D308&gt;0,E308&gt;0),"yes","no")</f>
        <v>no</v>
      </c>
      <c r="H308" s="13" t="str">
        <f aca="false">IF($B308="","",IF(AND(D308&gt;=4,E308&gt;=4),"LOCKED",IF(AND(D308&gt;=2,E308&gt;=2),"CANDIDATE",IF(F308&lt;=2,"DISCARD","WEAK"))))</f>
        <v/>
      </c>
      <c r="I308" s="14" t="str">
        <f aca="false">IFERROR(ROUND(AVERAGEIFS(Runs!$K:$K,Runs!$B:$B,$A308,Runs!$H:$H,$B308,Runs!$D:$D,"v2"),0),"")</f>
        <v/>
      </c>
      <c r="J308" s="8"/>
      <c r="K308" s="15"/>
    </row>
    <row r="309" customFormat="false" ht="15" hidden="false" customHeight="true" outlineLevel="0" collapsed="false">
      <c r="A309" s="12"/>
      <c r="B309" s="12"/>
      <c r="C309" s="12"/>
      <c r="D309" s="13" t="n">
        <f aca="false">COUNTIFS(Runs!$B:$B,$A309,Runs!$H:$H,$B309,Runs!$C:$C,"ChatGPT",Runs!$D:$D,"v2")</f>
        <v>0</v>
      </c>
      <c r="E309" s="13" t="n">
        <f aca="false">COUNTIFS(Runs!$B:$B,$A309,Runs!$H:$H,$B309,Runs!$C:$C,"Gemini",Runs!$D:$D,"v2")</f>
        <v>0</v>
      </c>
      <c r="F309" s="13" t="n">
        <f aca="false">D309+E309</f>
        <v>0</v>
      </c>
      <c r="G309" s="13" t="str">
        <f aca="false">IF(AND(D309&gt;0,E309&gt;0),"yes","no")</f>
        <v>no</v>
      </c>
      <c r="H309" s="13" t="str">
        <f aca="false">IF($B309="","",IF(AND(D309&gt;=4,E309&gt;=4),"LOCKED",IF(AND(D309&gt;=2,E309&gt;=2),"CANDIDATE",IF(F309&lt;=2,"DISCARD","WEAK"))))</f>
        <v/>
      </c>
      <c r="I309" s="14" t="str">
        <f aca="false">IFERROR(ROUND(AVERAGEIFS(Runs!$K:$K,Runs!$B:$B,$A309,Runs!$H:$H,$B309,Runs!$D:$D,"v2"),0),"")</f>
        <v/>
      </c>
      <c r="J309" s="8"/>
      <c r="K309" s="15"/>
    </row>
    <row r="310" customFormat="false" ht="15" hidden="false" customHeight="true" outlineLevel="0" collapsed="false">
      <c r="A310" s="12"/>
      <c r="B310" s="12"/>
      <c r="C310" s="12"/>
      <c r="D310" s="13" t="n">
        <f aca="false">COUNTIFS(Runs!$B:$B,$A310,Runs!$H:$H,$B310,Runs!$C:$C,"ChatGPT",Runs!$D:$D,"v2")</f>
        <v>0</v>
      </c>
      <c r="E310" s="13" t="n">
        <f aca="false">COUNTIFS(Runs!$B:$B,$A310,Runs!$H:$H,$B310,Runs!$C:$C,"Gemini",Runs!$D:$D,"v2")</f>
        <v>0</v>
      </c>
      <c r="F310" s="13" t="n">
        <f aca="false">D310+E310</f>
        <v>0</v>
      </c>
      <c r="G310" s="13" t="str">
        <f aca="false">IF(AND(D310&gt;0,E310&gt;0),"yes","no")</f>
        <v>no</v>
      </c>
      <c r="H310" s="13" t="str">
        <f aca="false">IF($B310="","",IF(AND(D310&gt;=4,E310&gt;=4),"LOCKED",IF(AND(D310&gt;=2,E310&gt;=2),"CANDIDATE",IF(F310&lt;=2,"DISCARD","WEAK"))))</f>
        <v/>
      </c>
      <c r="I310" s="14" t="str">
        <f aca="false">IFERROR(ROUND(AVERAGEIFS(Runs!$K:$K,Runs!$B:$B,$A310,Runs!$H:$H,$B310,Runs!$D:$D,"v2"),0),"")</f>
        <v/>
      </c>
      <c r="J310" s="8"/>
      <c r="K310" s="15"/>
    </row>
    <row r="311" customFormat="false" ht="15" hidden="false" customHeight="true" outlineLevel="0" collapsed="false">
      <c r="A311" s="12"/>
      <c r="B311" s="12"/>
      <c r="C311" s="12"/>
      <c r="D311" s="13" t="n">
        <f aca="false">COUNTIFS(Runs!$B:$B,$A311,Runs!$H:$H,$B311,Runs!$C:$C,"ChatGPT",Runs!$D:$D,"v2")</f>
        <v>0</v>
      </c>
      <c r="E311" s="13" t="n">
        <f aca="false">COUNTIFS(Runs!$B:$B,$A311,Runs!$H:$H,$B311,Runs!$C:$C,"Gemini",Runs!$D:$D,"v2")</f>
        <v>0</v>
      </c>
      <c r="F311" s="13" t="n">
        <f aca="false">D311+E311</f>
        <v>0</v>
      </c>
      <c r="G311" s="13" t="str">
        <f aca="false">IF(AND(D311&gt;0,E311&gt;0),"yes","no")</f>
        <v>no</v>
      </c>
      <c r="H311" s="13" t="str">
        <f aca="false">IF($B311="","",IF(AND(D311&gt;=4,E311&gt;=4),"LOCKED",IF(AND(D311&gt;=2,E311&gt;=2),"CANDIDATE",IF(F311&lt;=2,"DISCARD","WEAK"))))</f>
        <v/>
      </c>
      <c r="I311" s="14" t="str">
        <f aca="false">IFERROR(ROUND(AVERAGEIFS(Runs!$K:$K,Runs!$B:$B,$A311,Runs!$H:$H,$B311,Runs!$D:$D,"v2"),0),"")</f>
        <v/>
      </c>
      <c r="J311" s="8"/>
      <c r="K311" s="15"/>
    </row>
    <row r="312" customFormat="false" ht="15" hidden="false" customHeight="true" outlineLevel="0" collapsed="false">
      <c r="A312" s="12"/>
      <c r="B312" s="12"/>
      <c r="C312" s="12"/>
      <c r="D312" s="13" t="n">
        <f aca="false">COUNTIFS(Runs!$B:$B,$A312,Runs!$H:$H,$B312,Runs!$C:$C,"ChatGPT",Runs!$D:$D,"v2")</f>
        <v>0</v>
      </c>
      <c r="E312" s="13" t="n">
        <f aca="false">COUNTIFS(Runs!$B:$B,$A312,Runs!$H:$H,$B312,Runs!$C:$C,"Gemini",Runs!$D:$D,"v2")</f>
        <v>0</v>
      </c>
      <c r="F312" s="13" t="n">
        <f aca="false">D312+E312</f>
        <v>0</v>
      </c>
      <c r="G312" s="13" t="str">
        <f aca="false">IF(AND(D312&gt;0,E312&gt;0),"yes","no")</f>
        <v>no</v>
      </c>
      <c r="H312" s="13" t="str">
        <f aca="false">IF($B312="","",IF(AND(D312&gt;=4,E312&gt;=4),"LOCKED",IF(AND(D312&gt;=2,E312&gt;=2),"CANDIDATE",IF(F312&lt;=2,"DISCARD","WEAK"))))</f>
        <v/>
      </c>
      <c r="I312" s="14" t="str">
        <f aca="false">IFERROR(ROUND(AVERAGEIFS(Runs!$K:$K,Runs!$B:$B,$A312,Runs!$H:$H,$B312,Runs!$D:$D,"v2"),0),"")</f>
        <v/>
      </c>
      <c r="J312" s="8"/>
      <c r="K312" s="15"/>
    </row>
    <row r="313" customFormat="false" ht="15" hidden="false" customHeight="true" outlineLevel="0" collapsed="false">
      <c r="A313" s="12"/>
      <c r="B313" s="12"/>
      <c r="C313" s="12"/>
      <c r="D313" s="13" t="n">
        <f aca="false">COUNTIFS(Runs!$B:$B,$A313,Runs!$H:$H,$B313,Runs!$C:$C,"ChatGPT",Runs!$D:$D,"v2")</f>
        <v>0</v>
      </c>
      <c r="E313" s="13" t="n">
        <f aca="false">COUNTIFS(Runs!$B:$B,$A313,Runs!$H:$H,$B313,Runs!$C:$C,"Gemini",Runs!$D:$D,"v2")</f>
        <v>0</v>
      </c>
      <c r="F313" s="13" t="n">
        <f aca="false">D313+E313</f>
        <v>0</v>
      </c>
      <c r="G313" s="13" t="str">
        <f aca="false">IF(AND(D313&gt;0,E313&gt;0),"yes","no")</f>
        <v>no</v>
      </c>
      <c r="H313" s="13" t="str">
        <f aca="false">IF($B313="","",IF(AND(D313&gt;=4,E313&gt;=4),"LOCKED",IF(AND(D313&gt;=2,E313&gt;=2),"CANDIDATE",IF(F313&lt;=2,"DISCARD","WEAK"))))</f>
        <v/>
      </c>
      <c r="I313" s="14" t="str">
        <f aca="false">IFERROR(ROUND(AVERAGEIFS(Runs!$K:$K,Runs!$B:$B,$A313,Runs!$H:$H,$B313,Runs!$D:$D,"v2"),0),"")</f>
        <v/>
      </c>
      <c r="J313" s="8"/>
      <c r="K313" s="15"/>
    </row>
    <row r="314" customFormat="false" ht="15" hidden="false" customHeight="true" outlineLevel="0" collapsed="false">
      <c r="A314" s="12"/>
      <c r="B314" s="12"/>
      <c r="C314" s="12"/>
      <c r="D314" s="13" t="n">
        <f aca="false">COUNTIFS(Runs!$B:$B,$A314,Runs!$H:$H,$B314,Runs!$C:$C,"ChatGPT",Runs!$D:$D,"v2")</f>
        <v>0</v>
      </c>
      <c r="E314" s="13" t="n">
        <f aca="false">COUNTIFS(Runs!$B:$B,$A314,Runs!$H:$H,$B314,Runs!$C:$C,"Gemini",Runs!$D:$D,"v2")</f>
        <v>0</v>
      </c>
      <c r="F314" s="13" t="n">
        <f aca="false">D314+E314</f>
        <v>0</v>
      </c>
      <c r="G314" s="13" t="str">
        <f aca="false">IF(AND(D314&gt;0,E314&gt;0),"yes","no")</f>
        <v>no</v>
      </c>
      <c r="H314" s="13" t="str">
        <f aca="false">IF($B314="","",IF(AND(D314&gt;=4,E314&gt;=4),"LOCKED",IF(AND(D314&gt;=2,E314&gt;=2),"CANDIDATE",IF(F314&lt;=2,"DISCARD","WEAK"))))</f>
        <v/>
      </c>
      <c r="I314" s="14" t="str">
        <f aca="false">IFERROR(ROUND(AVERAGEIFS(Runs!$K:$K,Runs!$B:$B,$A314,Runs!$H:$H,$B314,Runs!$D:$D,"v2"),0),"")</f>
        <v/>
      </c>
      <c r="J314" s="8"/>
      <c r="K314" s="15"/>
    </row>
    <row r="315" customFormat="false" ht="15" hidden="false" customHeight="true" outlineLevel="0" collapsed="false">
      <c r="A315" s="12"/>
      <c r="B315" s="12"/>
      <c r="C315" s="12"/>
      <c r="D315" s="13" t="n">
        <f aca="false">COUNTIFS(Runs!$B:$B,$A315,Runs!$H:$H,$B315,Runs!$C:$C,"ChatGPT",Runs!$D:$D,"v2")</f>
        <v>0</v>
      </c>
      <c r="E315" s="13" t="n">
        <f aca="false">COUNTIFS(Runs!$B:$B,$A315,Runs!$H:$H,$B315,Runs!$C:$C,"Gemini",Runs!$D:$D,"v2")</f>
        <v>0</v>
      </c>
      <c r="F315" s="13" t="n">
        <f aca="false">D315+E315</f>
        <v>0</v>
      </c>
      <c r="G315" s="13" t="str">
        <f aca="false">IF(AND(D315&gt;0,E315&gt;0),"yes","no")</f>
        <v>no</v>
      </c>
      <c r="H315" s="13" t="str">
        <f aca="false">IF($B315="","",IF(AND(D315&gt;=4,E315&gt;=4),"LOCKED",IF(AND(D315&gt;=2,E315&gt;=2),"CANDIDATE",IF(F315&lt;=2,"DISCARD","WEAK"))))</f>
        <v/>
      </c>
      <c r="I315" s="14" t="str">
        <f aca="false">IFERROR(ROUND(AVERAGEIFS(Runs!$K:$K,Runs!$B:$B,$A315,Runs!$H:$H,$B315,Runs!$D:$D,"v2"),0),"")</f>
        <v/>
      </c>
      <c r="J315" s="8"/>
      <c r="K315" s="15"/>
    </row>
    <row r="316" customFormat="false" ht="15" hidden="false" customHeight="true" outlineLevel="0" collapsed="false">
      <c r="A316" s="12"/>
      <c r="B316" s="12"/>
      <c r="C316" s="12"/>
      <c r="D316" s="13" t="n">
        <f aca="false">COUNTIFS(Runs!$B:$B,$A316,Runs!$H:$H,$B316,Runs!$C:$C,"ChatGPT",Runs!$D:$D,"v2")</f>
        <v>0</v>
      </c>
      <c r="E316" s="13" t="n">
        <f aca="false">COUNTIFS(Runs!$B:$B,$A316,Runs!$H:$H,$B316,Runs!$C:$C,"Gemini",Runs!$D:$D,"v2")</f>
        <v>0</v>
      </c>
      <c r="F316" s="13" t="n">
        <f aca="false">D316+E316</f>
        <v>0</v>
      </c>
      <c r="G316" s="13" t="str">
        <f aca="false">IF(AND(D316&gt;0,E316&gt;0),"yes","no")</f>
        <v>no</v>
      </c>
      <c r="H316" s="13" t="str">
        <f aca="false">IF($B316="","",IF(AND(D316&gt;=4,E316&gt;=4),"LOCKED",IF(AND(D316&gt;=2,E316&gt;=2),"CANDIDATE",IF(F316&lt;=2,"DISCARD","WEAK"))))</f>
        <v/>
      </c>
      <c r="I316" s="14" t="str">
        <f aca="false">IFERROR(ROUND(AVERAGEIFS(Runs!$K:$K,Runs!$B:$B,$A316,Runs!$H:$H,$B316,Runs!$D:$D,"v2"),0),"")</f>
        <v/>
      </c>
      <c r="J316" s="8"/>
      <c r="K316" s="15"/>
    </row>
    <row r="317" customFormat="false" ht="15" hidden="false" customHeight="true" outlineLevel="0" collapsed="false">
      <c r="A317" s="12"/>
      <c r="B317" s="12"/>
      <c r="C317" s="12"/>
      <c r="D317" s="13" t="n">
        <f aca="false">COUNTIFS(Runs!$B:$B,$A317,Runs!$H:$H,$B317,Runs!$C:$C,"ChatGPT",Runs!$D:$D,"v2")</f>
        <v>0</v>
      </c>
      <c r="E317" s="13" t="n">
        <f aca="false">COUNTIFS(Runs!$B:$B,$A317,Runs!$H:$H,$B317,Runs!$C:$C,"Gemini",Runs!$D:$D,"v2")</f>
        <v>0</v>
      </c>
      <c r="F317" s="13" t="n">
        <f aca="false">D317+E317</f>
        <v>0</v>
      </c>
      <c r="G317" s="13" t="str">
        <f aca="false">IF(AND(D317&gt;0,E317&gt;0),"yes","no")</f>
        <v>no</v>
      </c>
      <c r="H317" s="13" t="str">
        <f aca="false">IF($B317="","",IF(AND(D317&gt;=4,E317&gt;=4),"LOCKED",IF(AND(D317&gt;=2,E317&gt;=2),"CANDIDATE",IF(F317&lt;=2,"DISCARD","WEAK"))))</f>
        <v/>
      </c>
      <c r="I317" s="14" t="str">
        <f aca="false">IFERROR(ROUND(AVERAGEIFS(Runs!$K:$K,Runs!$B:$B,$A317,Runs!$H:$H,$B317,Runs!$D:$D,"v2"),0),"")</f>
        <v/>
      </c>
      <c r="J317" s="8"/>
      <c r="K317" s="15"/>
    </row>
    <row r="318" customFormat="false" ht="15" hidden="false" customHeight="true" outlineLevel="0" collapsed="false">
      <c r="A318" s="12"/>
      <c r="B318" s="12"/>
      <c r="C318" s="12"/>
      <c r="D318" s="13" t="n">
        <f aca="false">COUNTIFS(Runs!$B:$B,$A318,Runs!$H:$H,$B318,Runs!$C:$C,"ChatGPT",Runs!$D:$D,"v2")</f>
        <v>0</v>
      </c>
      <c r="E318" s="13" t="n">
        <f aca="false">COUNTIFS(Runs!$B:$B,$A318,Runs!$H:$H,$B318,Runs!$C:$C,"Gemini",Runs!$D:$D,"v2")</f>
        <v>0</v>
      </c>
      <c r="F318" s="13" t="n">
        <f aca="false">D318+E318</f>
        <v>0</v>
      </c>
      <c r="G318" s="13" t="str">
        <f aca="false">IF(AND(D318&gt;0,E318&gt;0),"yes","no")</f>
        <v>no</v>
      </c>
      <c r="H318" s="13" t="str">
        <f aca="false">IF($B318="","",IF(AND(D318&gt;=4,E318&gt;=4),"LOCKED",IF(AND(D318&gt;=2,E318&gt;=2),"CANDIDATE",IF(F318&lt;=2,"DISCARD","WEAK"))))</f>
        <v/>
      </c>
      <c r="I318" s="14" t="str">
        <f aca="false">IFERROR(ROUND(AVERAGEIFS(Runs!$K:$K,Runs!$B:$B,$A318,Runs!$H:$H,$B318,Runs!$D:$D,"v2"),0),"")</f>
        <v/>
      </c>
      <c r="J318" s="8"/>
      <c r="K318" s="15"/>
    </row>
    <row r="319" customFormat="false" ht="15" hidden="false" customHeight="true" outlineLevel="0" collapsed="false">
      <c r="A319" s="12"/>
      <c r="B319" s="12"/>
      <c r="C319" s="12"/>
      <c r="D319" s="13" t="n">
        <f aca="false">COUNTIFS(Runs!$B:$B,$A319,Runs!$H:$H,$B319,Runs!$C:$C,"ChatGPT",Runs!$D:$D,"v2")</f>
        <v>0</v>
      </c>
      <c r="E319" s="13" t="n">
        <f aca="false">COUNTIFS(Runs!$B:$B,$A319,Runs!$H:$H,$B319,Runs!$C:$C,"Gemini",Runs!$D:$D,"v2")</f>
        <v>0</v>
      </c>
      <c r="F319" s="13" t="n">
        <f aca="false">D319+E319</f>
        <v>0</v>
      </c>
      <c r="G319" s="13" t="str">
        <f aca="false">IF(AND(D319&gt;0,E319&gt;0),"yes","no")</f>
        <v>no</v>
      </c>
      <c r="H319" s="13" t="str">
        <f aca="false">IF($B319="","",IF(AND(D319&gt;=4,E319&gt;=4),"LOCKED",IF(AND(D319&gt;=2,E319&gt;=2),"CANDIDATE",IF(F319&lt;=2,"DISCARD","WEAK"))))</f>
        <v/>
      </c>
      <c r="I319" s="14" t="str">
        <f aca="false">IFERROR(ROUND(AVERAGEIFS(Runs!$K:$K,Runs!$B:$B,$A319,Runs!$H:$H,$B319,Runs!$D:$D,"v2"),0),"")</f>
        <v/>
      </c>
      <c r="J319" s="8"/>
      <c r="K319" s="15"/>
    </row>
    <row r="320" customFormat="false" ht="15" hidden="false" customHeight="true" outlineLevel="0" collapsed="false">
      <c r="A320" s="12"/>
      <c r="B320" s="12"/>
      <c r="C320" s="12"/>
      <c r="D320" s="13" t="n">
        <f aca="false">COUNTIFS(Runs!$B:$B,$A320,Runs!$H:$H,$B320,Runs!$C:$C,"ChatGPT",Runs!$D:$D,"v2")</f>
        <v>0</v>
      </c>
      <c r="E320" s="13" t="n">
        <f aca="false">COUNTIFS(Runs!$B:$B,$A320,Runs!$H:$H,$B320,Runs!$C:$C,"Gemini",Runs!$D:$D,"v2")</f>
        <v>0</v>
      </c>
      <c r="F320" s="13" t="n">
        <f aca="false">D320+E320</f>
        <v>0</v>
      </c>
      <c r="G320" s="13" t="str">
        <f aca="false">IF(AND(D320&gt;0,E320&gt;0),"yes","no")</f>
        <v>no</v>
      </c>
      <c r="H320" s="13" t="str">
        <f aca="false">IF($B320="","",IF(AND(D320&gt;=4,E320&gt;=4),"LOCKED",IF(AND(D320&gt;=2,E320&gt;=2),"CANDIDATE",IF(F320&lt;=2,"DISCARD","WEAK"))))</f>
        <v/>
      </c>
      <c r="I320" s="14" t="str">
        <f aca="false">IFERROR(ROUND(AVERAGEIFS(Runs!$K:$K,Runs!$B:$B,$A320,Runs!$H:$H,$B320,Runs!$D:$D,"v2"),0),"")</f>
        <v/>
      </c>
      <c r="J320" s="8"/>
      <c r="K320" s="15"/>
    </row>
    <row r="322" customFormat="false" ht="15" hidden="false" customHeight="true" outlineLevel="0" collapsed="false">
      <c r="A322" s="10" t="s">
        <v>102</v>
      </c>
    </row>
    <row r="323" customFormat="false" ht="15" hidden="false" customHeight="true" outlineLevel="0" collapsed="false">
      <c r="A323" s="10" t="s">
        <v>103</v>
      </c>
    </row>
  </sheetData>
  <dataValidations count="1">
    <dataValidation allowBlank="true" errorStyle="stop" operator="between" showDropDown="false" showErrorMessage="false" showInputMessage="false" sqref="J2:J320" type="list">
      <formula1>"real competitor,adjacent not competing,our customer,supplier or partner,hallucination / not a real company,cannot tell"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6"/>
    <col collapsed="false" customWidth="true" hidden="false" outlineLevel="0" max="3" min="3" style="1" width="62"/>
  </cols>
  <sheetData>
    <row r="1" customFormat="false" ht="15.75" hidden="false" customHeight="true" outlineLevel="0" collapsed="false">
      <c r="A1" s="16" t="s">
        <v>104</v>
      </c>
    </row>
    <row r="3" customFormat="false" ht="30" hidden="false" customHeight="true" outlineLevel="0" collapsed="false">
      <c r="A3" s="17" t="s">
        <v>105</v>
      </c>
      <c r="C3" s="9"/>
    </row>
    <row r="4" customFormat="false" ht="30" hidden="false" customHeight="true" outlineLevel="0" collapsed="false">
      <c r="A4" s="4" t="s">
        <v>106</v>
      </c>
      <c r="B4" s="18" t="n">
        <f aca="false">COUNTA(Agreement!B2:B320)</f>
        <v>0</v>
      </c>
      <c r="C4" s="9" t="s">
        <v>107</v>
      </c>
    </row>
    <row r="5" customFormat="false" ht="30" hidden="false" customHeight="true" outlineLevel="0" collapsed="false">
      <c r="A5" s="4" t="s">
        <v>108</v>
      </c>
      <c r="B5" s="18" t="n">
        <f aca="false">COUNTIF(Agreement!J2:J320,"&lt;&gt;")</f>
        <v>0</v>
      </c>
      <c r="C5" s="9" t="s">
        <v>109</v>
      </c>
    </row>
    <row r="7" customFormat="false" ht="30" hidden="false" customHeight="true" outlineLevel="0" collapsed="false">
      <c r="A7" s="17" t="s">
        <v>110</v>
      </c>
      <c r="C7" s="9"/>
    </row>
    <row r="8" customFormat="false" ht="30" hidden="false" customHeight="true" outlineLevel="0" collapsed="false">
      <c r="A8" s="4" t="s">
        <v>111</v>
      </c>
      <c r="B8" s="19" t="str">
        <f aca="false">IFERROR(COUNTIF(Agreement!J2:J320,"hallucination / not a real company")/COUNTIF(Agreement!J2:J320,"&lt;&gt;"),"")</f>
        <v/>
      </c>
      <c r="C8" s="9" t="s">
        <v>112</v>
      </c>
    </row>
    <row r="9" customFormat="false" ht="30" hidden="false" customHeight="true" outlineLevel="0" collapsed="false">
      <c r="A9" s="4" t="s">
        <v>113</v>
      </c>
      <c r="B9" s="19" t="str">
        <f aca="false">IFERROR((COUNTIF(Agreement!J2:J320,"our customer")+COUNTIF(Agreement!J2:J320,"supplier or partner"))/COUNTIF(Agreement!J2:J320,"&lt;&gt;"),"")</f>
        <v/>
      </c>
      <c r="C9" s="9" t="s">
        <v>114</v>
      </c>
    </row>
    <row r="10" customFormat="false" ht="30" hidden="false" customHeight="true" outlineLevel="0" collapsed="false">
      <c r="A10" s="4" t="s">
        <v>115</v>
      </c>
      <c r="B10" s="19" t="str">
        <f aca="false">IFERROR(COUNTIF(Agreement!J2:J320,"real competitor")/COUNTIF(Agreement!J2:J320,"&lt;&gt;"),"")</f>
        <v/>
      </c>
      <c r="C10" s="9" t="s">
        <v>116</v>
      </c>
    </row>
    <row r="12" customFormat="false" ht="30" hidden="false" customHeight="true" outlineLevel="0" collapsed="false">
      <c r="A12" s="17" t="s">
        <v>117</v>
      </c>
      <c r="C12" s="9"/>
    </row>
    <row r="13" customFormat="false" ht="30" hidden="false" customHeight="true" outlineLevel="0" collapsed="false">
      <c r="A13" s="4" t="s">
        <v>118</v>
      </c>
      <c r="B13" s="19" t="str">
        <f aca="false">IFERROR(COUNTIFS(Agreement!H2:H320,"LOCKED",Agreement!J2:J320,"real competitor")/COUNTIF(Agreement!H2:H320,"LOCKED"),"")</f>
        <v/>
      </c>
      <c r="C13" s="9" t="s">
        <v>119</v>
      </c>
    </row>
    <row r="14" customFormat="false" ht="30" hidden="false" customHeight="true" outlineLevel="0" collapsed="false">
      <c r="A14" s="4" t="s">
        <v>120</v>
      </c>
      <c r="B14" s="19" t="str">
        <f aca="false">IFERROR(COUNTIFS(Agreement!H2:H320,"DISCARD",Agreement!J2:J320,"real competitor")/COUNTIF(Agreement!H2:H320,"DISCARD"),"")</f>
        <v/>
      </c>
      <c r="C14" s="9" t="s">
        <v>121</v>
      </c>
    </row>
    <row r="16" customFormat="false" ht="30" hidden="false" customHeight="true" outlineLevel="0" collapsed="false">
      <c r="A16" s="17" t="s">
        <v>122</v>
      </c>
      <c r="C16" s="9"/>
    </row>
    <row r="17" customFormat="false" ht="30" hidden="false" customHeight="true" outlineLevel="0" collapsed="false">
      <c r="A17" s="4" t="s">
        <v>123</v>
      </c>
      <c r="B17" s="18" t="str">
        <f aca="false">IFERROR(AVERAGEIFS(Agreement!I2:I320,Agreement!J2:J320,"real competitor"),"")</f>
        <v/>
      </c>
      <c r="C17" s="9"/>
    </row>
    <row r="18" customFormat="false" ht="30" hidden="false" customHeight="true" outlineLevel="0" collapsed="false">
      <c r="A18" s="4" t="s">
        <v>124</v>
      </c>
      <c r="B18" s="18" t="str">
        <f aca="false">IFERROR(AVERAGEIFS(Agreement!I2:I320,Agreement!J2:J320,"hallucination / not a real company"),"")</f>
        <v/>
      </c>
      <c r="C18" s="9"/>
    </row>
    <row r="19" customFormat="false" ht="30" hidden="false" customHeight="true" outlineLevel="0" collapsed="false">
      <c r="A19" s="4" t="s">
        <v>125</v>
      </c>
      <c r="B19" s="18" t="str">
        <f aca="false">IFERROR(B17-B18,"")</f>
        <v/>
      </c>
      <c r="C19" s="9" t="s">
        <v>126</v>
      </c>
    </row>
    <row r="21" customFormat="false" ht="30" hidden="false" customHeight="true" outlineLevel="0" collapsed="false">
      <c r="A21" s="17" t="s">
        <v>127</v>
      </c>
      <c r="C21" s="9"/>
    </row>
    <row r="22" customFormat="false" ht="30" hidden="false" customHeight="true" outlineLevel="0" collapsed="false">
      <c r="A22" s="4" t="s">
        <v>128</v>
      </c>
      <c r="B22" s="19" t="str">
        <f aca="false">IFERROR(COUNTIF(Agreement!G2:G320,"yes")/COUNTA(Agreement!B2:B320),"")</f>
        <v/>
      </c>
      <c r="C22" s="9" t="s">
        <v>129</v>
      </c>
    </row>
    <row r="23" customFormat="false" ht="30" hidden="false" customHeight="true" outlineLevel="0" collapsed="false">
      <c r="A23" s="4" t="s">
        <v>130</v>
      </c>
      <c r="B23" s="18" t="n">
        <f aca="false">COUNTIFS(Runs!C2:C419,"ChatGPT",Runs!D2:D419,"v2")</f>
        <v>1</v>
      </c>
      <c r="C23" s="9"/>
    </row>
    <row r="24" customFormat="false" ht="30" hidden="false" customHeight="true" outlineLevel="0" collapsed="false">
      <c r="A24" s="4" t="s">
        <v>131</v>
      </c>
      <c r="B24" s="18" t="n">
        <f aca="false">COUNTIFS(Runs!C2:C419,"Gemini",Runs!D2:D419,"v2")</f>
        <v>0</v>
      </c>
      <c r="C24" s="9"/>
    </row>
    <row r="25" customFormat="false" ht="30" hidden="false" customHeight="true" outlineLevel="0" collapsed="false">
      <c r="A25" s="4" t="s">
        <v>132</v>
      </c>
      <c r="B25" s="20" t="n">
        <f aca="false">IFERROR(B23/15,"")</f>
        <v>0.0666666666666667</v>
      </c>
      <c r="C25" s="9" t="s">
        <v>133</v>
      </c>
    </row>
    <row r="26" customFormat="false" ht="30" hidden="false" customHeight="true" outlineLevel="0" collapsed="false">
      <c r="A26" s="4" t="s">
        <v>134</v>
      </c>
      <c r="B26" s="20" t="n">
        <f aca="false">IFERROR(B24/15,"")</f>
        <v>0</v>
      </c>
      <c r="C26" s="9" t="s">
        <v>135</v>
      </c>
    </row>
    <row r="28" customFormat="false" ht="30" hidden="false" customHeight="true" outlineLevel="0" collapsed="false">
      <c r="A28" s="17" t="s">
        <v>136</v>
      </c>
      <c r="C28" s="9"/>
    </row>
    <row r="29" customFormat="false" ht="30" hidden="false" customHeight="true" outlineLevel="0" collapsed="false">
      <c r="A29" s="4" t="s">
        <v>137</v>
      </c>
      <c r="B29" s="18" t="n">
        <f aca="false">COUNTIF(Runs!D2:D419,"v1")</f>
        <v>0</v>
      </c>
      <c r="C29" s="9" t="s">
        <v>138</v>
      </c>
    </row>
    <row r="31" customFormat="false" ht="15" hidden="false" customHeight="true" outlineLevel="0" collapsed="false">
      <c r="A31" s="10" t="s">
        <v>139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2026-08-05T08:10:36Z</dcterms:created>
  <dc:creator>openpyxl</dc:creator>
  <dc:description/>
  <dc:language>en-US</dc:language>
  <cp:lastModifiedBy/>
  <dcterms:modified xsi:type="dcterms:W3CDTF">2026-08-05T09:13:32Z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